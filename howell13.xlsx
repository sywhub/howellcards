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02,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13</v>
      </c>
    </row>
    <row r="4">
      <c r="A4" s="2" t="inlineStr">
        <is>
          <t>Tables</t>
        </is>
      </c>
      <c r="B4" s="2" t="n">
        <v>7</v>
      </c>
    </row>
    <row r="5">
      <c r="A5" s="2" t="inlineStr">
        <is>
          <t>Rounds</t>
        </is>
      </c>
      <c r="B5" s="2" t="n">
        <v>13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80</t>
        </is>
      </c>
      <c r="C2" t="inlineStr">
        <is>
          <t>Name 38</t>
        </is>
      </c>
      <c r="D2" s="4">
        <f>SUMIF('By Board'!$D$3:$D$170,"=1",'By Board'!$L$3:$L$170)+SUMIF('By Board'!$E$3:$E$170,"=1",'By Board'!$M$3:$M$170)</f>
        <v/>
      </c>
      <c r="E2" s="5">
        <f>SUMIF('By Board'!$D$3:$D$170,"=1",'By Board'!$N$3:$N$170)/24+SUMIF('By Board'!$E$3:$E$170,"=1",'By Board'!$O$3:$O$170)/24</f>
        <v/>
      </c>
    </row>
    <row r="3">
      <c r="A3" t="n">
        <v>2</v>
      </c>
      <c r="B3" t="inlineStr">
        <is>
          <t>Name 61</t>
        </is>
      </c>
      <c r="C3" t="inlineStr">
        <is>
          <t>Name 17</t>
        </is>
      </c>
      <c r="D3" s="4">
        <f>SUMIF('By Board'!$D$3:$D$170,"=2",'By Board'!$L$3:$L$170)+SUMIF('By Board'!$E$3:$E$170,"=2",'By Board'!$M$3:$M$170)</f>
        <v/>
      </c>
      <c r="E3" s="5">
        <f>SUMIF('By Board'!$D$3:$D$170,"=2",'By Board'!$N$3:$N$170)/24+SUMIF('By Board'!$E$3:$E$170,"=2",'By Board'!$O$3:$O$170)/24</f>
        <v/>
      </c>
    </row>
    <row r="4">
      <c r="A4" t="n">
        <v>3</v>
      </c>
      <c r="B4" t="inlineStr">
        <is>
          <t>Name 20</t>
        </is>
      </c>
      <c r="C4" t="inlineStr">
        <is>
          <t>Name 27</t>
        </is>
      </c>
      <c r="D4" s="4">
        <f>SUMIF('By Board'!$D$3:$D$170,"=3",'By Board'!$L$3:$L$170)+SUMIF('By Board'!$E$3:$E$170,"=3",'By Board'!$M$3:$M$170)</f>
        <v/>
      </c>
      <c r="E4" s="5">
        <f>SUMIF('By Board'!$D$3:$D$170,"=3",'By Board'!$N$3:$N$170)/24+SUMIF('By Board'!$E$3:$E$170,"=3",'By Board'!$O$3:$O$170)/24</f>
        <v/>
      </c>
    </row>
    <row r="5">
      <c r="A5" t="n">
        <v>4</v>
      </c>
      <c r="B5" t="inlineStr">
        <is>
          <t>Name 41</t>
        </is>
      </c>
      <c r="C5" t="inlineStr">
        <is>
          <t>Name 20</t>
        </is>
      </c>
      <c r="D5" s="4">
        <f>SUMIF('By Board'!$D$3:$D$170,"=4",'By Board'!$L$3:$L$170)+SUMIF('By Board'!$E$3:$E$170,"=4",'By Board'!$M$3:$M$170)</f>
        <v/>
      </c>
      <c r="E5" s="5">
        <f>SUMIF('By Board'!$D$3:$D$170,"=4",'By Board'!$N$3:$N$170)/24+SUMIF('By Board'!$E$3:$E$170,"=4",'By Board'!$O$3:$O$170)/24</f>
        <v/>
      </c>
    </row>
    <row r="6">
      <c r="A6" t="n">
        <v>5</v>
      </c>
      <c r="B6" t="inlineStr">
        <is>
          <t>Name 40</t>
        </is>
      </c>
      <c r="C6" t="inlineStr">
        <is>
          <t>Name 50</t>
        </is>
      </c>
      <c r="D6" s="4">
        <f>SUMIF('By Board'!$D$3:$D$170,"=5",'By Board'!$L$3:$L$170)+SUMIF('By Board'!$E$3:$E$170,"=5",'By Board'!$M$3:$M$170)</f>
        <v/>
      </c>
      <c r="E6" s="5">
        <f>SUMIF('By Board'!$D$3:$D$170,"=5",'By Board'!$N$3:$N$170)/24+SUMIF('By Board'!$E$3:$E$170,"=5",'By Board'!$O$3:$O$170)/24</f>
        <v/>
      </c>
    </row>
    <row r="7">
      <c r="A7" t="n">
        <v>6</v>
      </c>
      <c r="B7" t="inlineStr">
        <is>
          <t>Name 24</t>
        </is>
      </c>
      <c r="C7" t="inlineStr">
        <is>
          <t>Name 80</t>
        </is>
      </c>
      <c r="D7" s="4">
        <f>SUMIF('By Board'!$D$3:$D$170,"=6",'By Board'!$L$3:$L$170)+SUMIF('By Board'!$E$3:$E$170,"=6",'By Board'!$M$3:$M$170)</f>
        <v/>
      </c>
      <c r="E7" s="5">
        <f>SUMIF('By Board'!$D$3:$D$170,"=6",'By Board'!$N$3:$N$170)/24+SUMIF('By Board'!$E$3:$E$170,"=6",'By Board'!$O$3:$O$170)/24</f>
        <v/>
      </c>
    </row>
    <row r="8">
      <c r="A8" t="n">
        <v>7</v>
      </c>
      <c r="B8" t="inlineStr">
        <is>
          <t>Name 23</t>
        </is>
      </c>
      <c r="C8" t="inlineStr">
        <is>
          <t>Name 87</t>
        </is>
      </c>
      <c r="D8" s="4">
        <f>SUMIF('By Board'!$D$3:$D$170,"=7",'By Board'!$L$3:$L$170)+SUMIF('By Board'!$E$3:$E$170,"=7",'By Board'!$M$3:$M$170)</f>
        <v/>
      </c>
      <c r="E8" s="5">
        <f>SUMIF('By Board'!$D$3:$D$170,"=7",'By Board'!$N$3:$N$170)/24+SUMIF('By Board'!$E$3:$E$170,"=7",'By Board'!$O$3:$O$170)/24</f>
        <v/>
      </c>
    </row>
    <row r="9">
      <c r="A9" t="n">
        <v>8</v>
      </c>
      <c r="B9" t="inlineStr">
        <is>
          <t>Name 61</t>
        </is>
      </c>
      <c r="C9" t="inlineStr">
        <is>
          <t>Name 49</t>
        </is>
      </c>
      <c r="D9" s="4">
        <f>SUMIF('By Board'!$D$3:$D$170,"=8",'By Board'!$L$3:$L$170)+SUMIF('By Board'!$E$3:$E$170,"=8",'By Board'!$M$3:$M$170)</f>
        <v/>
      </c>
      <c r="E9" s="5">
        <f>SUMIF('By Board'!$D$3:$D$170,"=8",'By Board'!$N$3:$N$170)/24+SUMIF('By Board'!$E$3:$E$170,"=8",'By Board'!$O$3:$O$170)/24</f>
        <v/>
      </c>
    </row>
    <row r="10">
      <c r="A10" t="n">
        <v>9</v>
      </c>
      <c r="B10" t="inlineStr">
        <is>
          <t>Name 25</t>
        </is>
      </c>
      <c r="C10" t="inlineStr">
        <is>
          <t>Name 57</t>
        </is>
      </c>
      <c r="D10" s="4">
        <f>SUMIF('By Board'!$D$3:$D$170,"=9",'By Board'!$L$3:$L$170)+SUMIF('By Board'!$E$3:$E$170,"=9",'By Board'!$M$3:$M$170)</f>
        <v/>
      </c>
      <c r="E10" s="5">
        <f>SUMIF('By Board'!$D$3:$D$170,"=9",'By Board'!$N$3:$N$170)/24+SUMIF('By Board'!$E$3:$E$170,"=9",'By Board'!$O$3:$O$170)/24</f>
        <v/>
      </c>
    </row>
    <row r="11">
      <c r="A11" t="n">
        <v>10</v>
      </c>
      <c r="B11" t="inlineStr">
        <is>
          <t>Name 33</t>
        </is>
      </c>
      <c r="C11" t="inlineStr">
        <is>
          <t>Name 48</t>
        </is>
      </c>
      <c r="D11" s="4">
        <f>SUMIF('By Board'!$D$3:$D$170,"=10",'By Board'!$L$3:$L$170)+SUMIF('By Board'!$E$3:$E$170,"=10",'By Board'!$M$3:$M$170)</f>
        <v/>
      </c>
      <c r="E11" s="5">
        <f>SUMIF('By Board'!$D$3:$D$170,"=10",'By Board'!$N$3:$N$170)/24+SUMIF('By Board'!$E$3:$E$170,"=10",'By Board'!$O$3:$O$170)/24</f>
        <v/>
      </c>
    </row>
    <row r="12">
      <c r="A12" t="n">
        <v>11</v>
      </c>
      <c r="B12" t="inlineStr">
        <is>
          <t>Name 41</t>
        </is>
      </c>
      <c r="C12" t="inlineStr">
        <is>
          <t>Name 55</t>
        </is>
      </c>
      <c r="D12" s="4">
        <f>SUMIF('By Board'!$D$3:$D$170,"=11",'By Board'!$L$3:$L$170)+SUMIF('By Board'!$E$3:$E$170,"=11",'By Board'!$M$3:$M$170)</f>
        <v/>
      </c>
      <c r="E12" s="5">
        <f>SUMIF('By Board'!$D$3:$D$170,"=11",'By Board'!$N$3:$N$170)/24+SUMIF('By Board'!$E$3:$E$170,"=11",'By Board'!$O$3:$O$170)/24</f>
        <v/>
      </c>
    </row>
    <row r="13">
      <c r="A13" t="n">
        <v>12</v>
      </c>
      <c r="B13" t="inlineStr">
        <is>
          <t>Name 48</t>
        </is>
      </c>
      <c r="C13" t="inlineStr">
        <is>
          <t>Name 17</t>
        </is>
      </c>
      <c r="D13" s="4">
        <f>SUMIF('By Board'!$D$3:$D$170,"=12",'By Board'!$L$3:$L$170)+SUMIF('By Board'!$E$3:$E$170,"=12",'By Board'!$M$3:$M$170)</f>
        <v/>
      </c>
      <c r="E13" s="5">
        <f>SUMIF('By Board'!$D$3:$D$170,"=12",'By Board'!$N$3:$N$170)/24+SUMIF('By Board'!$E$3:$E$170,"=12",'By Board'!$O$3:$O$170)/24</f>
        <v/>
      </c>
    </row>
    <row r="14">
      <c r="A14" t="n">
        <v>13</v>
      </c>
      <c r="B14" t="inlineStr">
        <is>
          <t>Name 57</t>
        </is>
      </c>
      <c r="C14" t="inlineStr">
        <is>
          <t>Name 61</t>
        </is>
      </c>
      <c r="D14" s="4">
        <f>SUMIF('By Board'!$D$3:$D$170,"=13",'By Board'!$L$3:$L$170)+SUMIF('By Board'!$E$3:$E$170,"=13",'By Board'!$M$3:$M$170)</f>
        <v/>
      </c>
      <c r="E14" s="5">
        <f>SUMIF('By Board'!$D$3:$D$170,"=13",'By Board'!$N$3:$N$170)/24+SUMIF('By Board'!$E$3:$E$170,"=13",'By Board'!$O$3:$O$170)/24</f>
        <v/>
      </c>
    </row>
    <row r="15">
      <c r="D15" s="6">
        <f>SUM(D2:D14)</f>
        <v/>
      </c>
      <c r="E15" s="7">
        <f>AVERAGE(E2:E14)</f>
        <v/>
      </c>
    </row>
    <row r="17">
      <c r="A17" t="inlineStr">
        <is>
          <t>Array Formula below, remove single quote</t>
        </is>
      </c>
    </row>
    <row r="18">
      <c r="A18" s="3" t="inlineStr">
        <is>
          <t>IMP Ranking</t>
        </is>
      </c>
    </row>
    <row r="19">
      <c r="A19" t="inlineStr">
        <is>
          <t>'=SORT(A2:E14,4,-1)</t>
        </is>
      </c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  <row r="26">
      <c r="D26" s="4" t="n"/>
      <c r="E26" s="8" t="n"/>
    </row>
    <row r="27">
      <c r="D27" s="4" t="n"/>
      <c r="E27" s="8" t="n"/>
    </row>
    <row r="28">
      <c r="D28" s="4" t="n"/>
      <c r="E28" s="8" t="n"/>
    </row>
    <row r="29">
      <c r="D29" s="4" t="n"/>
      <c r="E29" s="8" t="n"/>
    </row>
    <row r="30">
      <c r="D30" s="4" t="n"/>
      <c r="E30" s="8" t="n"/>
    </row>
    <row r="31">
      <c r="D31" s="4" t="n"/>
      <c r="E31" s="8" t="n"/>
    </row>
    <row r="36">
      <c r="A36" s="3" t="inlineStr">
        <is>
          <t>MP Ranking</t>
        </is>
      </c>
    </row>
    <row r="37">
      <c r="A37" t="inlineStr">
        <is>
          <t>'=SORT(A2:E14,5,-1)</t>
        </is>
      </c>
      <c r="D37" s="4" t="n"/>
      <c r="E37" s="8" t="n"/>
    </row>
    <row r="38">
      <c r="D38" s="4" t="n"/>
      <c r="E38" s="8" t="n"/>
    </row>
    <row r="39">
      <c r="D39" s="4" t="n"/>
      <c r="E39" s="8" t="n"/>
    </row>
    <row r="40">
      <c r="D40" s="4" t="n"/>
      <c r="E40" s="8" t="n"/>
    </row>
    <row r="41">
      <c r="D41" s="4" t="n"/>
      <c r="E41" s="8" t="n"/>
    </row>
    <row r="42">
      <c r="D42" s="4" t="n"/>
      <c r="E42" s="8" t="n"/>
    </row>
    <row r="43">
      <c r="D43" s="4" t="n"/>
      <c r="E43" s="8" t="n"/>
    </row>
    <row r="44">
      <c r="D44" s="4" t="n"/>
      <c r="E44" s="8" t="n"/>
    </row>
    <row r="45">
      <c r="D45" s="4" t="n"/>
      <c r="E45" s="8" t="n"/>
    </row>
    <row r="46">
      <c r="D46" s="4" t="n"/>
      <c r="E46" s="8" t="n"/>
    </row>
    <row r="47">
      <c r="D47" s="4" t="n"/>
      <c r="E47" s="8" t="n"/>
    </row>
    <row r="48">
      <c r="D48" s="4" t="n"/>
      <c r="E48" s="8" t="n"/>
    </row>
    <row r="49">
      <c r="D49" s="4" t="n"/>
      <c r="E49" s="8" t="n"/>
    </row>
  </sheetData>
  <mergeCells count="2">
    <mergeCell ref="A18:E18"/>
    <mergeCell ref="A36:E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Z2" s="3" t="inlineStr">
        <is>
          <t>EW MP Scores</t>
        </is>
      </c>
      <c r="AF2" s="10" t="inlineStr">
        <is>
          <t>NS IMP Pair-wise</t>
        </is>
      </c>
      <c r="AL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SUM(AF3:AK3)</f>
        <v/>
      </c>
      <c r="M3" s="13">
        <f>SUM(AL3:AQ3)</f>
        <v/>
      </c>
      <c r="N3" s="8">
        <f>IF(COUNT(T3:Y3)&gt;0,P3/COUNT(T3:Y3),0.5)</f>
        <v/>
      </c>
      <c r="O3" s="8">
        <f>IF(COUNT(Z3:AE3)&gt;0,Q3/COUNT(Z3:AE3),0.5)</f>
        <v/>
      </c>
      <c r="P3" s="4">
        <f>SUM(T3:Y3)</f>
        <v/>
      </c>
      <c r="Q3" s="4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>
        <f>'By Round'!A31</f>
        <v/>
      </c>
      <c r="C4">
        <f>'By Round'!B43</f>
        <v/>
      </c>
      <c r="D4">
        <f>'By Round'!C43</f>
        <v/>
      </c>
      <c r="E4">
        <f>'By Round'!D43</f>
        <v/>
      </c>
      <c r="F4" s="11" t="inlineStr">
        <is>
          <t>None</t>
        </is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2">
        <f>SUM(AF4:AK4)</f>
        <v/>
      </c>
      <c r="M4" s="13">
        <f>SUM(AL4:AQ4)</f>
        <v/>
      </c>
      <c r="N4" s="8">
        <f>IF(COUNT(T4:Y4)&gt;0,P4/COUNT(T4:Y4),0.5)</f>
        <v/>
      </c>
      <c r="O4" s="8">
        <f>IF(COUNT(Z4:AE4)&gt;0,Q4/COUNT(Z4:AE4),0.5)</f>
        <v/>
      </c>
      <c r="P4" s="4">
        <f>SUM(T4:Y4)</f>
        <v/>
      </c>
      <c r="Q4" s="4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>
        <f>'By Round'!A45</f>
        <v/>
      </c>
      <c r="C5">
        <f>'By Round'!B55</f>
        <v/>
      </c>
      <c r="D5">
        <f>'By Round'!C55</f>
        <v/>
      </c>
      <c r="E5">
        <f>'By Round'!D55</f>
        <v/>
      </c>
      <c r="F5" s="11" t="inlineStr">
        <is>
          <t>None</t>
        </is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2">
        <f>SUM(AF5:AK5)</f>
        <v/>
      </c>
      <c r="M5" s="13">
        <f>SUM(AL5:AQ5)</f>
        <v/>
      </c>
      <c r="N5" s="8">
        <f>IF(COUNT(T5:Y5)&gt;0,P5/COUNT(T5:Y5),0.5)</f>
        <v/>
      </c>
      <c r="O5" s="8">
        <f>IF(COUNT(Z5:AE5)&gt;0,Q5/COUNT(Z5:AE5),0.5)</f>
        <v/>
      </c>
      <c r="P5" s="4">
        <f>SUM(T5:Y5)</f>
        <v/>
      </c>
      <c r="Q5" s="4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>
        <f>'By Round'!A59</f>
        <v/>
      </c>
      <c r="C6">
        <f>'By Round'!B67</f>
        <v/>
      </c>
      <c r="D6">
        <f>'By Round'!C67</f>
        <v/>
      </c>
      <c r="E6">
        <f>'By Round'!D67</f>
        <v/>
      </c>
      <c r="F6" s="11" t="inlineStr">
        <is>
          <t>None</t>
        </is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SUM(AF6:AK6)</f>
        <v/>
      </c>
      <c r="M6" s="13">
        <f>SUM(AL6:AQ6)</f>
        <v/>
      </c>
      <c r="N6" s="8">
        <f>IF(COUNT(T6:Y6)&gt;0,P6/COUNT(T6:Y6),0.5)</f>
        <v/>
      </c>
      <c r="O6" s="8">
        <f>IF(COUNT(Z6:AE6)&gt;0,Q6/COUNT(Z6:AE6),0.5)</f>
        <v/>
      </c>
      <c r="P6" s="4">
        <f>SUM(T6:Y6)</f>
        <v/>
      </c>
      <c r="Q6" s="4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>
        <f>'By Round'!A129</f>
        <v/>
      </c>
      <c r="C7">
        <f>'By Round'!B135</f>
        <v/>
      </c>
      <c r="D7">
        <f>'By Round'!C135</f>
        <v/>
      </c>
      <c r="E7">
        <f>'By Round'!D135</f>
        <v/>
      </c>
      <c r="F7" s="11" t="inlineStr">
        <is>
          <t>None</t>
        </is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2">
        <f>SUM(AF7:AK7)</f>
        <v/>
      </c>
      <c r="M7" s="13">
        <f>SUM(AL7:AQ7)</f>
        <v/>
      </c>
      <c r="N7" s="8">
        <f>IF(COUNT(T7:Y7)&gt;0,P7/COUNT(T7:Y7),0.5)</f>
        <v/>
      </c>
      <c r="O7" s="8">
        <f>IF(COUNT(Z7:AE7)&gt;0,Q7/COUNT(Z7:AE7),0.5)</f>
        <v/>
      </c>
      <c r="P7" s="4">
        <f>SUM(T7:Y7)</f>
        <v/>
      </c>
      <c r="Q7" s="4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>
        <f>'By Round'!A143</f>
        <v/>
      </c>
      <c r="C8">
        <f>'By Round'!B147</f>
        <v/>
      </c>
      <c r="D8">
        <f>'By Round'!C147</f>
        <v/>
      </c>
      <c r="E8">
        <f>'By Round'!D147</f>
        <v/>
      </c>
      <c r="F8" s="11" t="inlineStr">
        <is>
          <t>None</t>
        </is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SUM(AF8:AK8)</f>
        <v/>
      </c>
      <c r="M8" s="13">
        <f>SUM(AL8:AQ8)</f>
        <v/>
      </c>
      <c r="N8" s="8">
        <f>IF(COUNT(T8:Y8)&gt;0,P8/COUNT(T8:Y8),0.5)</f>
        <v/>
      </c>
      <c r="O8" s="8">
        <f>IF(COUNT(Z8:AE8)&gt;0,Q8/COUNT(Z8:AE8),0.5)</f>
        <v/>
      </c>
      <c r="P8" s="4">
        <f>SUM(T8:Y8)</f>
        <v/>
      </c>
      <c r="Q8" s="4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5">
        <f>'By Round'!A157</f>
        <v/>
      </c>
      <c r="C9" s="15">
        <f>'By Round'!B159</f>
        <v/>
      </c>
      <c r="D9" s="15">
        <f>'By Round'!C159</f>
        <v/>
      </c>
      <c r="E9" s="15">
        <f>'By Round'!D159</f>
        <v/>
      </c>
      <c r="F9" s="16" t="inlineStr">
        <is>
          <t>None</t>
        </is>
      </c>
      <c r="G9" s="15">
        <f>IF(ISBLANK('By Round'!G159),"",'By Round'!G159)</f>
        <v/>
      </c>
      <c r="H9" s="15">
        <f>IF(ISBLANK('By Round'!H159),"",'By Round'!H159)</f>
        <v/>
      </c>
      <c r="I9" s="15">
        <f>IF(ISBLANK('By Round'!I159),"",'By Round'!I159)</f>
        <v/>
      </c>
      <c r="J9" s="15">
        <f>IF(ISBLANK('By Round'!J159),"",'By Round'!J159)</f>
        <v/>
      </c>
      <c r="K9" s="15">
        <f>IF(ISBLANK('By Round'!K159),"",'By Round'!K159)</f>
        <v/>
      </c>
      <c r="L9" s="17">
        <f>SUM(AF9:AK9)</f>
        <v/>
      </c>
      <c r="M9" s="18">
        <f>SUM(AL9:AQ9)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t="n">
        <v>2</v>
      </c>
      <c r="B10">
        <f>'By Round'!A3</f>
        <v/>
      </c>
      <c r="C10">
        <f>'By Round'!B3</f>
        <v/>
      </c>
      <c r="D10">
        <f>'By Round'!C3</f>
        <v/>
      </c>
      <c r="E10">
        <f>'By Round'!D3</f>
        <v/>
      </c>
      <c r="F10" s="11" t="inlineStr">
        <is>
          <t>NS</t>
        </is>
      </c>
      <c r="G10">
        <f>IF(ISBLANK('By Round'!G3),"",'By Round'!G3)</f>
        <v/>
      </c>
      <c r="H10">
        <f>IF(ISBLANK('By Round'!H3),"",'By Round'!H3)</f>
        <v/>
      </c>
      <c r="I10">
        <f>IF(ISBLANK('By Round'!I3),"",'By Round'!I3)</f>
        <v/>
      </c>
      <c r="J10">
        <f>IF(ISBLANK('By Round'!J3),"",'By Round'!J3)</f>
        <v/>
      </c>
      <c r="K10">
        <f>IF(ISBLANK('By Round'!K3),"",'By Round'!K3)</f>
        <v/>
      </c>
      <c r="L10" s="12">
        <f>SUM(AF10:AK10)</f>
        <v/>
      </c>
      <c r="M10" s="13">
        <f>SUM(AL10:AQ10)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4">
        <f>SUM(T10:Y10)</f>
        <v/>
      </c>
      <c r="Q10" s="4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>
        <f>'By Round'!A31</f>
        <v/>
      </c>
      <c r="C11">
        <f>'By Round'!B43</f>
        <v/>
      </c>
      <c r="D11">
        <f>'By Round'!C43</f>
        <v/>
      </c>
      <c r="E11">
        <f>'By Round'!D43</f>
        <v/>
      </c>
      <c r="F11" s="11" t="inlineStr">
        <is>
          <t>NS</t>
        </is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 s="12">
        <f>SUM(AF11:AK11)</f>
        <v/>
      </c>
      <c r="M11" s="13">
        <f>SUM(AL11:AQ11)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4">
        <f>SUM(T11:Y11)</f>
        <v/>
      </c>
      <c r="Q11" s="4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>
        <f>'By Round'!A45</f>
        <v/>
      </c>
      <c r="C12">
        <f>'By Round'!B55</f>
        <v/>
      </c>
      <c r="D12">
        <f>'By Round'!C55</f>
        <v/>
      </c>
      <c r="E12">
        <f>'By Round'!D55</f>
        <v/>
      </c>
      <c r="F12" s="11" t="inlineStr">
        <is>
          <t>NS</t>
        </is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 s="12">
        <f>SUM(AF12:AK12)</f>
        <v/>
      </c>
      <c r="M12" s="13">
        <f>SUM(AL12:AQ12)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4">
        <f>SUM(T12:Y12)</f>
        <v/>
      </c>
      <c r="Q12" s="4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>
        <f>'By Round'!A59</f>
        <v/>
      </c>
      <c r="C13">
        <f>'By Round'!B67</f>
        <v/>
      </c>
      <c r="D13">
        <f>'By Round'!C67</f>
        <v/>
      </c>
      <c r="E13">
        <f>'By Round'!D67</f>
        <v/>
      </c>
      <c r="F13" s="11" t="inlineStr">
        <is>
          <t>NS</t>
        </is>
      </c>
      <c r="G13">
        <f>IF(ISBLANK('By Round'!G67),"",'By Round'!G67)</f>
        <v/>
      </c>
      <c r="H13">
        <f>IF(ISBLANK('By Round'!H67),"",'By Round'!H67)</f>
        <v/>
      </c>
      <c r="I13">
        <f>IF(ISBLANK('By Round'!I67),"",'By Round'!I67)</f>
        <v/>
      </c>
      <c r="J13">
        <f>IF(ISBLANK('By Round'!J67),"",'By Round'!J67)</f>
        <v/>
      </c>
      <c r="K13">
        <f>IF(ISBLANK('By Round'!K67),"",'By Round'!K67)</f>
        <v/>
      </c>
      <c r="L13" s="12">
        <f>SUM(AF13:AK13)</f>
        <v/>
      </c>
      <c r="M13" s="13">
        <f>SUM(AL13:AQ13)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4">
        <f>SUM(T13:Y13)</f>
        <v/>
      </c>
      <c r="Q13" s="4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>
        <f>'By Round'!A129</f>
        <v/>
      </c>
      <c r="C14">
        <f>'By Round'!B135</f>
        <v/>
      </c>
      <c r="D14">
        <f>'By Round'!C135</f>
        <v/>
      </c>
      <c r="E14">
        <f>'By Round'!D135</f>
        <v/>
      </c>
      <c r="F14" s="11" t="inlineStr">
        <is>
          <t>NS</t>
        </is>
      </c>
      <c r="G14">
        <f>IF(ISBLANK('By Round'!G135),"",'By Round'!G135)</f>
        <v/>
      </c>
      <c r="H14">
        <f>IF(ISBLANK('By Round'!H135),"",'By Round'!H135)</f>
        <v/>
      </c>
      <c r="I14">
        <f>IF(ISBLANK('By Round'!I135),"",'By Round'!I135)</f>
        <v/>
      </c>
      <c r="J14">
        <f>IF(ISBLANK('By Round'!J135),"",'By Round'!J135)</f>
        <v/>
      </c>
      <c r="K14">
        <f>IF(ISBLANK('By Round'!K135),"",'By Round'!K135)</f>
        <v/>
      </c>
      <c r="L14" s="12">
        <f>SUM(AF14:AK14)</f>
        <v/>
      </c>
      <c r="M14" s="13">
        <f>SUM(AL14:AQ14)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4">
        <f>SUM(T14:Y14)</f>
        <v/>
      </c>
      <c r="Q14" s="4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>
        <f>'By Round'!A143</f>
        <v/>
      </c>
      <c r="C15">
        <f>'By Round'!B147</f>
        <v/>
      </c>
      <c r="D15">
        <f>'By Round'!C147</f>
        <v/>
      </c>
      <c r="E15">
        <f>'By Round'!D147</f>
        <v/>
      </c>
      <c r="F15" s="11" t="inlineStr">
        <is>
          <t>NS</t>
        </is>
      </c>
      <c r="G15">
        <f>IF(ISBLANK('By Round'!G147),"",'By Round'!G147)</f>
        <v/>
      </c>
      <c r="H15">
        <f>IF(ISBLANK('By Round'!H147),"",'By Round'!H147)</f>
        <v/>
      </c>
      <c r="I15">
        <f>IF(ISBLANK('By Round'!I147),"",'By Round'!I147)</f>
        <v/>
      </c>
      <c r="J15">
        <f>IF(ISBLANK('By Round'!J147),"",'By Round'!J147)</f>
        <v/>
      </c>
      <c r="K15">
        <f>IF(ISBLANK('By Round'!K147),"",'By Round'!K147)</f>
        <v/>
      </c>
      <c r="L15" s="12">
        <f>SUM(AF15:AK15)</f>
        <v/>
      </c>
      <c r="M15" s="13">
        <f>SUM(AL15:AQ15)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4">
        <f>SUM(T15:Y15)</f>
        <v/>
      </c>
      <c r="Q15" s="4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5">
        <f>'By Round'!A157</f>
        <v/>
      </c>
      <c r="C16" s="15">
        <f>'By Round'!B159</f>
        <v/>
      </c>
      <c r="D16" s="15">
        <f>'By Round'!C159</f>
        <v/>
      </c>
      <c r="E16" s="15">
        <f>'By Round'!D159</f>
        <v/>
      </c>
      <c r="F16" s="16" t="inlineStr">
        <is>
          <t>NS</t>
        </is>
      </c>
      <c r="G16" s="15">
        <f>IF(ISBLANK('By Round'!G159),"",'By Round'!G159)</f>
        <v/>
      </c>
      <c r="H16" s="15">
        <f>IF(ISBLANK('By Round'!H159),"",'By Round'!H159)</f>
        <v/>
      </c>
      <c r="I16" s="15">
        <f>IF(ISBLANK('By Round'!I159),"",'By Round'!I159)</f>
        <v/>
      </c>
      <c r="J16" s="15">
        <f>IF(ISBLANK('By Round'!J159),"",'By Round'!J159)</f>
        <v/>
      </c>
      <c r="K16" s="15">
        <f>IF(ISBLANK('By Round'!K159),"",'By Round'!K159)</f>
        <v/>
      </c>
      <c r="L16" s="17">
        <f>SUM(AF16:AK16)</f>
        <v/>
      </c>
      <c r="M16" s="18">
        <f>SUM(AL16:AQ16)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t="n">
        <v>3</v>
      </c>
      <c r="B17">
        <f>'By Round'!A17</f>
        <v/>
      </c>
      <c r="C17">
        <f>'By Round'!B17</f>
        <v/>
      </c>
      <c r="D17">
        <f>'By Round'!C17</f>
        <v/>
      </c>
      <c r="E17">
        <f>'By Round'!D17</f>
        <v/>
      </c>
      <c r="F17" s="11" t="inlineStr">
        <is>
          <t>EW</t>
        </is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SUM(AF17:AK17)</f>
        <v/>
      </c>
      <c r="M17" s="13">
        <f>SUM(AL17:AQ17)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4">
        <f>SUM(T17:Y17)</f>
        <v/>
      </c>
      <c r="Q17" s="4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>
        <f>'By Round'!A45</f>
        <v/>
      </c>
      <c r="C18">
        <f>'By Round'!B57</f>
        <v/>
      </c>
      <c r="D18">
        <f>'By Round'!C57</f>
        <v/>
      </c>
      <c r="E18">
        <f>'By Round'!D57</f>
        <v/>
      </c>
      <c r="F18" s="11" t="inlineStr">
        <is>
          <t>EW</t>
        </is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2">
        <f>SUM(AF18:AK18)</f>
        <v/>
      </c>
      <c r="M18" s="13">
        <f>SUM(AL18:AQ18)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4">
        <f>SUM(T18:Y18)</f>
        <v/>
      </c>
      <c r="Q18" s="4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>
        <f>'By Round'!A59</f>
        <v/>
      </c>
      <c r="C19">
        <f>'By Round'!B69</f>
        <v/>
      </c>
      <c r="D19">
        <f>'By Round'!C69</f>
        <v/>
      </c>
      <c r="E19">
        <f>'By Round'!D69</f>
        <v/>
      </c>
      <c r="F19" s="11" t="inlineStr">
        <is>
          <t>EW</t>
        </is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SUM(AF19:AK19)</f>
        <v/>
      </c>
      <c r="M19" s="13">
        <f>SUM(AL19:AQ19)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4">
        <f>SUM(T19:Y19)</f>
        <v/>
      </c>
      <c r="Q19" s="4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>
        <f>'By Round'!A73</f>
        <v/>
      </c>
      <c r="C20">
        <f>'By Round'!B81</f>
        <v/>
      </c>
      <c r="D20">
        <f>'By Round'!C81</f>
        <v/>
      </c>
      <c r="E20">
        <f>'By Round'!D81</f>
        <v/>
      </c>
      <c r="F20" s="11" t="inlineStr">
        <is>
          <t>EW</t>
        </is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SUM(AF20:AK20)</f>
        <v/>
      </c>
      <c r="M20" s="13">
        <f>SUM(AL20:AQ20)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4">
        <f>SUM(T20:Y20)</f>
        <v/>
      </c>
      <c r="Q20" s="4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>
        <f>'By Round'!A143</f>
        <v/>
      </c>
      <c r="C21">
        <f>'By Round'!B149</f>
        <v/>
      </c>
      <c r="D21">
        <f>'By Round'!C149</f>
        <v/>
      </c>
      <c r="E21">
        <f>'By Round'!D149</f>
        <v/>
      </c>
      <c r="F21" s="11" t="inlineStr">
        <is>
          <t>EW</t>
        </is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2">
        <f>SUM(AF21:AK21)</f>
        <v/>
      </c>
      <c r="M21" s="13">
        <f>SUM(AL21:AQ21)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4">
        <f>SUM(T21:Y21)</f>
        <v/>
      </c>
      <c r="Q21" s="4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>
        <f>'By Round'!A157</f>
        <v/>
      </c>
      <c r="C22">
        <f>'By Round'!B161</f>
        <v/>
      </c>
      <c r="D22">
        <f>'By Round'!C161</f>
        <v/>
      </c>
      <c r="E22">
        <f>'By Round'!D161</f>
        <v/>
      </c>
      <c r="F22" s="11" t="inlineStr">
        <is>
          <t>EW</t>
        </is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SUM(AF22:AK22)</f>
        <v/>
      </c>
      <c r="M22" s="13">
        <f>SUM(AL22:AQ22)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4">
        <f>SUM(T22:Y22)</f>
        <v/>
      </c>
      <c r="Q22" s="4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5">
        <f>'By Round'!A171</f>
        <v/>
      </c>
      <c r="C23" s="15">
        <f>'By Round'!B173</f>
        <v/>
      </c>
      <c r="D23" s="15">
        <f>'By Round'!C173</f>
        <v/>
      </c>
      <c r="E23" s="15">
        <f>'By Round'!D173</f>
        <v/>
      </c>
      <c r="F23" s="16" t="inlineStr">
        <is>
          <t>EW</t>
        </is>
      </c>
      <c r="G23" s="15">
        <f>IF(ISBLANK('By Round'!G173),"",'By Round'!G173)</f>
        <v/>
      </c>
      <c r="H23" s="15">
        <f>IF(ISBLANK('By Round'!H173),"",'By Round'!H173)</f>
        <v/>
      </c>
      <c r="I23" s="15">
        <f>IF(ISBLANK('By Round'!I173),"",'By Round'!I173)</f>
        <v/>
      </c>
      <c r="J23" s="15">
        <f>IF(ISBLANK('By Round'!J173),"",'By Round'!J173)</f>
        <v/>
      </c>
      <c r="K23" s="15">
        <f>IF(ISBLANK('By Round'!K173),"",'By Round'!K173)</f>
        <v/>
      </c>
      <c r="L23" s="17">
        <f>SUM(AF23:AK23)</f>
        <v/>
      </c>
      <c r="M23" s="18">
        <f>SUM(AL23:AQ23)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t="n">
        <v>4</v>
      </c>
      <c r="B24">
        <f>'By Round'!A17</f>
        <v/>
      </c>
      <c r="C24">
        <f>'By Round'!B17</f>
        <v/>
      </c>
      <c r="D24">
        <f>'By Round'!C17</f>
        <v/>
      </c>
      <c r="E24">
        <f>'By Round'!D17</f>
        <v/>
      </c>
      <c r="F24" s="11" t="inlineStr">
        <is>
          <t>Both</t>
        </is>
      </c>
      <c r="G24">
        <f>IF(ISBLANK('By Round'!G17),"",'By Round'!G17)</f>
        <v/>
      </c>
      <c r="H24">
        <f>IF(ISBLANK('By Round'!H17),"",'By Round'!H17)</f>
        <v/>
      </c>
      <c r="I24">
        <f>IF(ISBLANK('By Round'!I17),"",'By Round'!I17)</f>
        <v/>
      </c>
      <c r="J24">
        <f>IF(ISBLANK('By Round'!J17),"",'By Round'!J17)</f>
        <v/>
      </c>
      <c r="K24">
        <f>IF(ISBLANK('By Round'!K17),"",'By Round'!K17)</f>
        <v/>
      </c>
      <c r="L24" s="12">
        <f>SUM(AF24:AK24)</f>
        <v/>
      </c>
      <c r="M24" s="13">
        <f>SUM(AL24:AQ24)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4">
        <f>SUM(T24:Y24)</f>
        <v/>
      </c>
      <c r="Q24" s="4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>
        <f>'By Round'!A45</f>
        <v/>
      </c>
      <c r="C25">
        <f>'By Round'!B57</f>
        <v/>
      </c>
      <c r="D25">
        <f>'By Round'!C57</f>
        <v/>
      </c>
      <c r="E25">
        <f>'By Round'!D57</f>
        <v/>
      </c>
      <c r="F25" s="11" t="inlineStr">
        <is>
          <t>Both</t>
        </is>
      </c>
      <c r="G25">
        <f>IF(ISBLANK('By Round'!G57),"",'By Round'!G57)</f>
        <v/>
      </c>
      <c r="H25">
        <f>IF(ISBLANK('By Round'!H57),"",'By Round'!H57)</f>
        <v/>
      </c>
      <c r="I25">
        <f>IF(ISBLANK('By Round'!I57),"",'By Round'!I57)</f>
        <v/>
      </c>
      <c r="J25">
        <f>IF(ISBLANK('By Round'!J57),"",'By Round'!J57)</f>
        <v/>
      </c>
      <c r="K25">
        <f>IF(ISBLANK('By Round'!K57),"",'By Round'!K57)</f>
        <v/>
      </c>
      <c r="L25" s="12">
        <f>SUM(AF25:AK25)</f>
        <v/>
      </c>
      <c r="M25" s="13">
        <f>SUM(AL25:AQ25)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4">
        <f>SUM(T25:Y25)</f>
        <v/>
      </c>
      <c r="Q25" s="4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>
        <f>'By Round'!A59</f>
        <v/>
      </c>
      <c r="C26">
        <f>'By Round'!B69</f>
        <v/>
      </c>
      <c r="D26">
        <f>'By Round'!C69</f>
        <v/>
      </c>
      <c r="E26">
        <f>'By Round'!D69</f>
        <v/>
      </c>
      <c r="F26" s="11" t="inlineStr">
        <is>
          <t>Both</t>
        </is>
      </c>
      <c r="G26">
        <f>IF(ISBLANK('By Round'!G69),"",'By Round'!G69)</f>
        <v/>
      </c>
      <c r="H26">
        <f>IF(ISBLANK('By Round'!H69),"",'By Round'!H69)</f>
        <v/>
      </c>
      <c r="I26">
        <f>IF(ISBLANK('By Round'!I69),"",'By Round'!I69)</f>
        <v/>
      </c>
      <c r="J26">
        <f>IF(ISBLANK('By Round'!J69),"",'By Round'!J69)</f>
        <v/>
      </c>
      <c r="K26">
        <f>IF(ISBLANK('By Round'!K69),"",'By Round'!K69)</f>
        <v/>
      </c>
      <c r="L26" s="12">
        <f>SUM(AF26:AK26)</f>
        <v/>
      </c>
      <c r="M26" s="13">
        <f>SUM(AL26:AQ26)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4">
        <f>SUM(T26:Y26)</f>
        <v/>
      </c>
      <c r="Q26" s="4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>
        <f>'By Round'!A73</f>
        <v/>
      </c>
      <c r="C27">
        <f>'By Round'!B81</f>
        <v/>
      </c>
      <c r="D27">
        <f>'By Round'!C81</f>
        <v/>
      </c>
      <c r="E27">
        <f>'By Round'!D81</f>
        <v/>
      </c>
      <c r="F27" s="11" t="inlineStr">
        <is>
          <t>Both</t>
        </is>
      </c>
      <c r="G27">
        <f>IF(ISBLANK('By Round'!G81),"",'By Round'!G81)</f>
        <v/>
      </c>
      <c r="H27">
        <f>IF(ISBLANK('By Round'!H81),"",'By Round'!H81)</f>
        <v/>
      </c>
      <c r="I27">
        <f>IF(ISBLANK('By Round'!I81),"",'By Round'!I81)</f>
        <v/>
      </c>
      <c r="J27">
        <f>IF(ISBLANK('By Round'!J81),"",'By Round'!J81)</f>
        <v/>
      </c>
      <c r="K27">
        <f>IF(ISBLANK('By Round'!K81),"",'By Round'!K81)</f>
        <v/>
      </c>
      <c r="L27" s="12">
        <f>SUM(AF27:AK27)</f>
        <v/>
      </c>
      <c r="M27" s="13">
        <f>SUM(AL27:AQ27)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4">
        <f>SUM(T27:Y27)</f>
        <v/>
      </c>
      <c r="Q27" s="4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>
        <f>'By Round'!A143</f>
        <v/>
      </c>
      <c r="C28">
        <f>'By Round'!B149</f>
        <v/>
      </c>
      <c r="D28">
        <f>'By Round'!C149</f>
        <v/>
      </c>
      <c r="E28">
        <f>'By Round'!D149</f>
        <v/>
      </c>
      <c r="F28" s="11" t="inlineStr">
        <is>
          <t>Both</t>
        </is>
      </c>
      <c r="G28">
        <f>IF(ISBLANK('By Round'!G149),"",'By Round'!G149)</f>
        <v/>
      </c>
      <c r="H28">
        <f>IF(ISBLANK('By Round'!H149),"",'By Round'!H149)</f>
        <v/>
      </c>
      <c r="I28">
        <f>IF(ISBLANK('By Round'!I149),"",'By Round'!I149)</f>
        <v/>
      </c>
      <c r="J28">
        <f>IF(ISBLANK('By Round'!J149),"",'By Round'!J149)</f>
        <v/>
      </c>
      <c r="K28">
        <f>IF(ISBLANK('By Round'!K149),"",'By Round'!K149)</f>
        <v/>
      </c>
      <c r="L28" s="12">
        <f>SUM(AF28:AK28)</f>
        <v/>
      </c>
      <c r="M28" s="13">
        <f>SUM(AL28:AQ28)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4">
        <f>SUM(T28:Y28)</f>
        <v/>
      </c>
      <c r="Q28" s="4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>
        <f>'By Round'!A157</f>
        <v/>
      </c>
      <c r="C29">
        <f>'By Round'!B161</f>
        <v/>
      </c>
      <c r="D29">
        <f>'By Round'!C161</f>
        <v/>
      </c>
      <c r="E29">
        <f>'By Round'!D161</f>
        <v/>
      </c>
      <c r="F29" s="11" t="inlineStr">
        <is>
          <t>Both</t>
        </is>
      </c>
      <c r="G29">
        <f>IF(ISBLANK('By Round'!G161),"",'By Round'!G161)</f>
        <v/>
      </c>
      <c r="H29">
        <f>IF(ISBLANK('By Round'!H161),"",'By Round'!H161)</f>
        <v/>
      </c>
      <c r="I29">
        <f>IF(ISBLANK('By Round'!I161),"",'By Round'!I161)</f>
        <v/>
      </c>
      <c r="J29">
        <f>IF(ISBLANK('By Round'!J161),"",'By Round'!J161)</f>
        <v/>
      </c>
      <c r="K29">
        <f>IF(ISBLANK('By Round'!K161),"",'By Round'!K161)</f>
        <v/>
      </c>
      <c r="L29" s="12">
        <f>SUM(AF29:AK29)</f>
        <v/>
      </c>
      <c r="M29" s="13">
        <f>SUM(AL29:AQ29)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4">
        <f>SUM(T29:Y29)</f>
        <v/>
      </c>
      <c r="Q29" s="4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5">
        <f>'By Round'!A171</f>
        <v/>
      </c>
      <c r="C30" s="15">
        <f>'By Round'!B173</f>
        <v/>
      </c>
      <c r="D30" s="15">
        <f>'By Round'!C173</f>
        <v/>
      </c>
      <c r="E30" s="15">
        <f>'By Round'!D173</f>
        <v/>
      </c>
      <c r="F30" s="16" t="inlineStr">
        <is>
          <t>Both</t>
        </is>
      </c>
      <c r="G30" s="15">
        <f>IF(ISBLANK('By Round'!G173),"",'By Round'!G173)</f>
        <v/>
      </c>
      <c r="H30" s="15">
        <f>IF(ISBLANK('By Round'!H173),"",'By Round'!H173)</f>
        <v/>
      </c>
      <c r="I30" s="15">
        <f>IF(ISBLANK('By Round'!I173),"",'By Round'!I173)</f>
        <v/>
      </c>
      <c r="J30" s="15">
        <f>IF(ISBLANK('By Round'!J173),"",'By Round'!J173)</f>
        <v/>
      </c>
      <c r="K30" s="15">
        <f>IF(ISBLANK('By Round'!K173),"",'By Round'!K173)</f>
        <v/>
      </c>
      <c r="L30" s="17">
        <f>SUM(AF30:AK30)</f>
        <v/>
      </c>
      <c r="M30" s="18">
        <f>SUM(AL30:AQ30)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t="n">
        <v>5</v>
      </c>
      <c r="B31">
        <f>'By Round'!A3</f>
        <v/>
      </c>
      <c r="C31">
        <f>'By Round'!B5</f>
        <v/>
      </c>
      <c r="D31">
        <f>'By Round'!C5</f>
        <v/>
      </c>
      <c r="E31">
        <f>'By Round'!D5</f>
        <v/>
      </c>
      <c r="F31" s="11" t="inlineStr">
        <is>
          <t>NS</t>
        </is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2">
        <f>SUM(AF31:AK31)</f>
        <v/>
      </c>
      <c r="M31" s="13">
        <f>SUM(AL31:AQ31)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4">
        <f>SUM(T31:Y31)</f>
        <v/>
      </c>
      <c r="Q31" s="4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>
        <f>'By Round'!A31</f>
        <v/>
      </c>
      <c r="C32">
        <f>'By Round'!B31</f>
        <v/>
      </c>
      <c r="D32">
        <f>'By Round'!C31</f>
        <v/>
      </c>
      <c r="E32">
        <f>'By Round'!D31</f>
        <v/>
      </c>
      <c r="F32" s="11" t="inlineStr">
        <is>
          <t>NS</t>
        </is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2">
        <f>SUM(AF32:AK32)</f>
        <v/>
      </c>
      <c r="M32" s="13">
        <f>SUM(AL32:AQ32)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4">
        <f>SUM(T32:Y32)</f>
        <v/>
      </c>
      <c r="Q32" s="4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>
        <f>'By Round'!A59</f>
        <v/>
      </c>
      <c r="C33">
        <f>'By Round'!B71</f>
        <v/>
      </c>
      <c r="D33">
        <f>'By Round'!C71</f>
        <v/>
      </c>
      <c r="E33">
        <f>'By Round'!D71</f>
        <v/>
      </c>
      <c r="F33" s="11" t="inlineStr">
        <is>
          <t>NS</t>
        </is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2">
        <f>SUM(AF33:AK33)</f>
        <v/>
      </c>
      <c r="M33" s="13">
        <f>SUM(AL33:AQ33)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4">
        <f>SUM(T33:Y33)</f>
        <v/>
      </c>
      <c r="Q33" s="4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>
        <f>'By Round'!A73</f>
        <v/>
      </c>
      <c r="C34">
        <f>'By Round'!B83</f>
        <v/>
      </c>
      <c r="D34">
        <f>'By Round'!C83</f>
        <v/>
      </c>
      <c r="E34">
        <f>'By Round'!D83</f>
        <v/>
      </c>
      <c r="F34" s="11" t="inlineStr">
        <is>
          <t>NS</t>
        </is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2">
        <f>SUM(AF34:AK34)</f>
        <v/>
      </c>
      <c r="M34" s="13">
        <f>SUM(AL34:AQ34)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4">
        <f>SUM(T34:Y34)</f>
        <v/>
      </c>
      <c r="Q34" s="4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>
        <f>'By Round'!A87</f>
        <v/>
      </c>
      <c r="C35">
        <f>'By Round'!B95</f>
        <v/>
      </c>
      <c r="D35">
        <f>'By Round'!C95</f>
        <v/>
      </c>
      <c r="E35">
        <f>'By Round'!D95</f>
        <v/>
      </c>
      <c r="F35" s="11" t="inlineStr">
        <is>
          <t>NS</t>
        </is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SUM(AF35:AK35)</f>
        <v/>
      </c>
      <c r="M35" s="13">
        <f>SUM(AL35:AQ35)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4">
        <f>SUM(T35:Y35)</f>
        <v/>
      </c>
      <c r="Q35" s="4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>
        <f>'By Round'!A157</f>
        <v/>
      </c>
      <c r="C36">
        <f>'By Round'!B163</f>
        <v/>
      </c>
      <c r="D36">
        <f>'By Round'!C163</f>
        <v/>
      </c>
      <c r="E36">
        <f>'By Round'!D163</f>
        <v/>
      </c>
      <c r="F36" s="11" t="inlineStr">
        <is>
          <t>NS</t>
        </is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2">
        <f>SUM(AF36:AK36)</f>
        <v/>
      </c>
      <c r="M36" s="13">
        <f>SUM(AL36:AQ36)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4">
        <f>SUM(T36:Y36)</f>
        <v/>
      </c>
      <c r="Q36" s="4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5">
        <f>'By Round'!A171</f>
        <v/>
      </c>
      <c r="C37" s="15">
        <f>'By Round'!B175</f>
        <v/>
      </c>
      <c r="D37" s="15">
        <f>'By Round'!C175</f>
        <v/>
      </c>
      <c r="E37" s="15">
        <f>'By Round'!D175</f>
        <v/>
      </c>
      <c r="F37" s="16" t="inlineStr">
        <is>
          <t>NS</t>
        </is>
      </c>
      <c r="G37" s="15">
        <f>IF(ISBLANK('By Round'!G175),"",'By Round'!G175)</f>
        <v/>
      </c>
      <c r="H37" s="15">
        <f>IF(ISBLANK('By Round'!H175),"",'By Round'!H175)</f>
        <v/>
      </c>
      <c r="I37" s="15">
        <f>IF(ISBLANK('By Round'!I175),"",'By Round'!I175)</f>
        <v/>
      </c>
      <c r="J37" s="15">
        <f>IF(ISBLANK('By Round'!J175),"",'By Round'!J175)</f>
        <v/>
      </c>
      <c r="K37" s="15">
        <f>IF(ISBLANK('By Round'!K175),"",'By Round'!K175)</f>
        <v/>
      </c>
      <c r="L37" s="17">
        <f>SUM(AF37:AK37)</f>
        <v/>
      </c>
      <c r="M37" s="18">
        <f>SUM(AL37:AQ37)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t="n">
        <v>6</v>
      </c>
      <c r="B38">
        <f>'By Round'!A3</f>
        <v/>
      </c>
      <c r="C38">
        <f>'By Round'!B5</f>
        <v/>
      </c>
      <c r="D38">
        <f>'By Round'!C5</f>
        <v/>
      </c>
      <c r="E38">
        <f>'By Round'!D5</f>
        <v/>
      </c>
      <c r="F38" s="11" t="inlineStr">
        <is>
          <t>EW</t>
        </is>
      </c>
      <c r="G38">
        <f>IF(ISBLANK('By Round'!G5),"",'By Round'!G5)</f>
        <v/>
      </c>
      <c r="H38">
        <f>IF(ISBLANK('By Round'!H5),"",'By Round'!H5)</f>
        <v/>
      </c>
      <c r="I38">
        <f>IF(ISBLANK('By Round'!I5),"",'By Round'!I5)</f>
        <v/>
      </c>
      <c r="J38">
        <f>IF(ISBLANK('By Round'!J5),"",'By Round'!J5)</f>
        <v/>
      </c>
      <c r="K38">
        <f>IF(ISBLANK('By Round'!K5),"",'By Round'!K5)</f>
        <v/>
      </c>
      <c r="L38" s="12">
        <f>SUM(AF38:AK38)</f>
        <v/>
      </c>
      <c r="M38" s="13">
        <f>SUM(AL38:AQ38)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4">
        <f>SUM(T38:Y38)</f>
        <v/>
      </c>
      <c r="Q38" s="4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>
        <f>'By Round'!A31</f>
        <v/>
      </c>
      <c r="C39">
        <f>'By Round'!B31</f>
        <v/>
      </c>
      <c r="D39">
        <f>'By Round'!C31</f>
        <v/>
      </c>
      <c r="E39">
        <f>'By Round'!D31</f>
        <v/>
      </c>
      <c r="F39" s="11" t="inlineStr">
        <is>
          <t>EW</t>
        </is>
      </c>
      <c r="G39">
        <f>IF(ISBLANK('By Round'!G31),"",'By Round'!G31)</f>
        <v/>
      </c>
      <c r="H39">
        <f>IF(ISBLANK('By Round'!H31),"",'By Round'!H31)</f>
        <v/>
      </c>
      <c r="I39">
        <f>IF(ISBLANK('By Round'!I31),"",'By Round'!I31)</f>
        <v/>
      </c>
      <c r="J39">
        <f>IF(ISBLANK('By Round'!J31),"",'By Round'!J31)</f>
        <v/>
      </c>
      <c r="K39">
        <f>IF(ISBLANK('By Round'!K31),"",'By Round'!K31)</f>
        <v/>
      </c>
      <c r="L39" s="12">
        <f>SUM(AF39:AK39)</f>
        <v/>
      </c>
      <c r="M39" s="13">
        <f>SUM(AL39:AQ39)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4">
        <f>SUM(T39:Y39)</f>
        <v/>
      </c>
      <c r="Q39" s="4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>
        <f>'By Round'!A59</f>
        <v/>
      </c>
      <c r="C40">
        <f>'By Round'!B71</f>
        <v/>
      </c>
      <c r="D40">
        <f>'By Round'!C71</f>
        <v/>
      </c>
      <c r="E40">
        <f>'By Round'!D71</f>
        <v/>
      </c>
      <c r="F40" s="11" t="inlineStr">
        <is>
          <t>EW</t>
        </is>
      </c>
      <c r="G40">
        <f>IF(ISBLANK('By Round'!G71),"",'By Round'!G71)</f>
        <v/>
      </c>
      <c r="H40">
        <f>IF(ISBLANK('By Round'!H71),"",'By Round'!H71)</f>
        <v/>
      </c>
      <c r="I40">
        <f>IF(ISBLANK('By Round'!I71),"",'By Round'!I71)</f>
        <v/>
      </c>
      <c r="J40">
        <f>IF(ISBLANK('By Round'!J71),"",'By Round'!J71)</f>
        <v/>
      </c>
      <c r="K40">
        <f>IF(ISBLANK('By Round'!K71),"",'By Round'!K71)</f>
        <v/>
      </c>
      <c r="L40" s="12">
        <f>SUM(AF40:AK40)</f>
        <v/>
      </c>
      <c r="M40" s="13">
        <f>SUM(AL40:AQ40)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4">
        <f>SUM(T40:Y40)</f>
        <v/>
      </c>
      <c r="Q40" s="4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>
        <f>'By Round'!A73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EW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SUM(AF41:AK41)</f>
        <v/>
      </c>
      <c r="M41" s="13">
        <f>SUM(AL41:AQ41)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4">
        <f>SUM(T41:Y41)</f>
        <v/>
      </c>
      <c r="Q41" s="4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Round'!B95</f>
        <v/>
      </c>
      <c r="D42">
        <f>'By Round'!C95</f>
        <v/>
      </c>
      <c r="E42">
        <f>'By Round'!D95</f>
        <v/>
      </c>
      <c r="F42" s="11" t="inlineStr">
        <is>
          <t>EW</t>
        </is>
      </c>
      <c r="G42">
        <f>IF(ISBLANK('By Round'!G95),"",'By Round'!G95)</f>
        <v/>
      </c>
      <c r="H42">
        <f>IF(ISBLANK('By Round'!H95),"",'By Round'!H95)</f>
        <v/>
      </c>
      <c r="I42">
        <f>IF(ISBLANK('By Round'!I95),"",'By Round'!I95)</f>
        <v/>
      </c>
      <c r="J42">
        <f>IF(ISBLANK('By Round'!J95),"",'By Round'!J95)</f>
        <v/>
      </c>
      <c r="K42">
        <f>IF(ISBLANK('By Round'!K95),"",'By Round'!K95)</f>
        <v/>
      </c>
      <c r="L42" s="12">
        <f>SUM(AF42:AK42)</f>
        <v/>
      </c>
      <c r="M42" s="13">
        <f>SUM(AL42:AQ42)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4">
        <f>SUM(T42:Y42)</f>
        <v/>
      </c>
      <c r="Q42" s="4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>
        <f>'By Round'!A157</f>
        <v/>
      </c>
      <c r="C43">
        <f>'By Round'!B163</f>
        <v/>
      </c>
      <c r="D43">
        <f>'By Round'!C163</f>
        <v/>
      </c>
      <c r="E43">
        <f>'By Round'!D163</f>
        <v/>
      </c>
      <c r="F43" s="11" t="inlineStr">
        <is>
          <t>EW</t>
        </is>
      </c>
      <c r="G43">
        <f>IF(ISBLANK('By Round'!G163),"",'By Round'!G163)</f>
        <v/>
      </c>
      <c r="H43">
        <f>IF(ISBLANK('By Round'!H163),"",'By Round'!H163)</f>
        <v/>
      </c>
      <c r="I43">
        <f>IF(ISBLANK('By Round'!I163),"",'By Round'!I163)</f>
        <v/>
      </c>
      <c r="J43">
        <f>IF(ISBLANK('By Round'!J163),"",'By Round'!J163)</f>
        <v/>
      </c>
      <c r="K43">
        <f>IF(ISBLANK('By Round'!K163),"",'By Round'!K163)</f>
        <v/>
      </c>
      <c r="L43" s="12">
        <f>SUM(AF43:AK43)</f>
        <v/>
      </c>
      <c r="M43" s="13">
        <f>SUM(AL43:AQ43)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4">
        <f>SUM(T43:Y43)</f>
        <v/>
      </c>
      <c r="Q43" s="4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5">
        <f>'By Round'!A171</f>
        <v/>
      </c>
      <c r="C44" s="15">
        <f>'By Round'!B175</f>
        <v/>
      </c>
      <c r="D44" s="15">
        <f>'By Round'!C175</f>
        <v/>
      </c>
      <c r="E44" s="15">
        <f>'By Round'!D175</f>
        <v/>
      </c>
      <c r="F44" s="16" t="inlineStr">
        <is>
          <t>EW</t>
        </is>
      </c>
      <c r="G44" s="15">
        <f>IF(ISBLANK('By Round'!G175),"",'By Round'!G175)</f>
        <v/>
      </c>
      <c r="H44" s="15">
        <f>IF(ISBLANK('By Round'!H175),"",'By Round'!H175)</f>
        <v/>
      </c>
      <c r="I44" s="15">
        <f>IF(ISBLANK('By Round'!I175),"",'By Round'!I175)</f>
        <v/>
      </c>
      <c r="J44" s="15">
        <f>IF(ISBLANK('By Round'!J175),"",'By Round'!J175)</f>
        <v/>
      </c>
      <c r="K44" s="15">
        <f>IF(ISBLANK('By Round'!K175),"",'By Round'!K175)</f>
        <v/>
      </c>
      <c r="L44" s="17">
        <f>SUM(AF44:AK44)</f>
        <v/>
      </c>
      <c r="M44" s="18">
        <f>SUM(AL44:AQ44)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t="n">
        <v>7</v>
      </c>
      <c r="B45">
        <f>'By Round'!A3</f>
        <v/>
      </c>
      <c r="C45">
        <f>'By Round'!B7</f>
        <v/>
      </c>
      <c r="D45">
        <f>'By Round'!C7</f>
        <v/>
      </c>
      <c r="E45">
        <f>'By Round'!D7</f>
        <v/>
      </c>
      <c r="F45" s="11" t="inlineStr">
        <is>
          <t>Both</t>
        </is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2">
        <f>SUM(AF45:AK45)</f>
        <v/>
      </c>
      <c r="M45" s="13">
        <f>SUM(AL45:AQ45)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4">
        <f>SUM(T45:Y45)</f>
        <v/>
      </c>
      <c r="Q45" s="4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>
        <f>'By Round'!A17</f>
        <v/>
      </c>
      <c r="C46">
        <f>'By Round'!B19</f>
        <v/>
      </c>
      <c r="D46">
        <f>'By Round'!C19</f>
        <v/>
      </c>
      <c r="E46">
        <f>'By Round'!D19</f>
        <v/>
      </c>
      <c r="F46" s="11" t="inlineStr">
        <is>
          <t>Both</t>
        </is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2">
        <f>SUM(AF46:AK46)</f>
        <v/>
      </c>
      <c r="M46" s="13">
        <f>SUM(AL46:AQ46)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4">
        <f>SUM(T46:Y46)</f>
        <v/>
      </c>
      <c r="Q46" s="4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>
        <f>'By Round'!A45</f>
        <v/>
      </c>
      <c r="C47">
        <f>'By Round'!B45</f>
        <v/>
      </c>
      <c r="D47">
        <f>'By Round'!C45</f>
        <v/>
      </c>
      <c r="E47">
        <f>'By Round'!D45</f>
        <v/>
      </c>
      <c r="F47" s="11" t="inlineStr">
        <is>
          <t>Both</t>
        </is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2">
        <f>SUM(AF47:AK47)</f>
        <v/>
      </c>
      <c r="M47" s="13">
        <f>SUM(AL47:AQ47)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4">
        <f>SUM(T47:Y47)</f>
        <v/>
      </c>
      <c r="Q47" s="4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>
        <f>'By Round'!A73</f>
        <v/>
      </c>
      <c r="C48">
        <f>'By Round'!B85</f>
        <v/>
      </c>
      <c r="D48">
        <f>'By Round'!C85</f>
        <v/>
      </c>
      <c r="E48">
        <f>'By Round'!D85</f>
        <v/>
      </c>
      <c r="F48" s="11" t="inlineStr">
        <is>
          <t>Both</t>
        </is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2">
        <f>SUM(AF48:AK48)</f>
        <v/>
      </c>
      <c r="M48" s="13">
        <f>SUM(AL48:AQ48)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4">
        <f>SUM(T48:Y48)</f>
        <v/>
      </c>
      <c r="Q48" s="4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>
        <f>'By Round'!A87</f>
        <v/>
      </c>
      <c r="C49">
        <f>'By Round'!B97</f>
        <v/>
      </c>
      <c r="D49">
        <f>'By Round'!C97</f>
        <v/>
      </c>
      <c r="E49">
        <f>'By Round'!D97</f>
        <v/>
      </c>
      <c r="F49" s="11" t="inlineStr">
        <is>
          <t>Both</t>
        </is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2">
        <f>SUM(AF49:AK49)</f>
        <v/>
      </c>
      <c r="M49" s="13">
        <f>SUM(AL49:AQ49)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4">
        <f>SUM(T49:Y49)</f>
        <v/>
      </c>
      <c r="Q49" s="4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>
        <f>'By Round'!A101</f>
        <v/>
      </c>
      <c r="C50">
        <f>'By Round'!B109</f>
        <v/>
      </c>
      <c r="D50">
        <f>'By Round'!C109</f>
        <v/>
      </c>
      <c r="E50">
        <f>'By Round'!D109</f>
        <v/>
      </c>
      <c r="F50" s="11" t="inlineStr">
        <is>
          <t>Both</t>
        </is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SUM(AF50:AK50)</f>
        <v/>
      </c>
      <c r="M50" s="13">
        <f>SUM(AL50:AQ50)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4">
        <f>SUM(T50:Y50)</f>
        <v/>
      </c>
      <c r="Q50" s="4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5">
        <f>'By Round'!A171</f>
        <v/>
      </c>
      <c r="C51" s="15">
        <f>'By Round'!B177</f>
        <v/>
      </c>
      <c r="D51" s="15">
        <f>'By Round'!C177</f>
        <v/>
      </c>
      <c r="E51" s="15">
        <f>'By Round'!D177</f>
        <v/>
      </c>
      <c r="F51" s="16" t="inlineStr">
        <is>
          <t>Both</t>
        </is>
      </c>
      <c r="G51" s="15">
        <f>IF(ISBLANK('By Round'!G177),"",'By Round'!G177)</f>
        <v/>
      </c>
      <c r="H51" s="15">
        <f>IF(ISBLANK('By Round'!H177),"",'By Round'!H177)</f>
        <v/>
      </c>
      <c r="I51" s="15">
        <f>IF(ISBLANK('By Round'!I177),"",'By Round'!I177)</f>
        <v/>
      </c>
      <c r="J51" s="15">
        <f>IF(ISBLANK('By Round'!J177),"",'By Round'!J177)</f>
        <v/>
      </c>
      <c r="K51" s="15">
        <f>IF(ISBLANK('By Round'!K177),"",'By Round'!K177)</f>
        <v/>
      </c>
      <c r="L51" s="17">
        <f>SUM(AF51:AK51)</f>
        <v/>
      </c>
      <c r="M51" s="18">
        <f>SUM(AL51:AQ51)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t="n">
        <v>8</v>
      </c>
      <c r="B52">
        <f>'By Round'!A3</f>
        <v/>
      </c>
      <c r="C52">
        <f>'By Round'!B7</f>
        <v/>
      </c>
      <c r="D52">
        <f>'By Round'!C7</f>
        <v/>
      </c>
      <c r="E52">
        <f>'By Round'!D7</f>
        <v/>
      </c>
      <c r="F52" s="11" t="inlineStr">
        <is>
          <t>None</t>
        </is>
      </c>
      <c r="G52">
        <f>IF(ISBLANK('By Round'!G7),"",'By Round'!G7)</f>
        <v/>
      </c>
      <c r="H52">
        <f>IF(ISBLANK('By Round'!H7),"",'By Round'!H7)</f>
        <v/>
      </c>
      <c r="I52">
        <f>IF(ISBLANK('By Round'!I7),"",'By Round'!I7)</f>
        <v/>
      </c>
      <c r="J52">
        <f>IF(ISBLANK('By Round'!J7),"",'By Round'!J7)</f>
        <v/>
      </c>
      <c r="K52">
        <f>IF(ISBLANK('By Round'!K7),"",'By Round'!K7)</f>
        <v/>
      </c>
      <c r="L52" s="12">
        <f>SUM(AF52:AK52)</f>
        <v/>
      </c>
      <c r="M52" s="13">
        <f>SUM(AL52:AQ52)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4">
        <f>SUM(T52:Y52)</f>
        <v/>
      </c>
      <c r="Q52" s="4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>
        <f>'By Round'!A17</f>
        <v/>
      </c>
      <c r="C53">
        <f>'By Round'!B19</f>
        <v/>
      </c>
      <c r="D53">
        <f>'By Round'!C19</f>
        <v/>
      </c>
      <c r="E53">
        <f>'By Round'!D19</f>
        <v/>
      </c>
      <c r="F53" s="11" t="inlineStr">
        <is>
          <t>None</t>
        </is>
      </c>
      <c r="G53">
        <f>IF(ISBLANK('By Round'!G19),"",'By Round'!G19)</f>
        <v/>
      </c>
      <c r="H53">
        <f>IF(ISBLANK('By Round'!H19),"",'By Round'!H19)</f>
        <v/>
      </c>
      <c r="I53">
        <f>IF(ISBLANK('By Round'!I19),"",'By Round'!I19)</f>
        <v/>
      </c>
      <c r="J53">
        <f>IF(ISBLANK('By Round'!J19),"",'By Round'!J19)</f>
        <v/>
      </c>
      <c r="K53">
        <f>IF(ISBLANK('By Round'!K19),"",'By Round'!K19)</f>
        <v/>
      </c>
      <c r="L53" s="12">
        <f>SUM(AF53:AK53)</f>
        <v/>
      </c>
      <c r="M53" s="13">
        <f>SUM(AL53:AQ53)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4">
        <f>SUM(T53:Y53)</f>
        <v/>
      </c>
      <c r="Q53" s="4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>
        <f>'By Round'!A45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SUM(AF54:AK54)</f>
        <v/>
      </c>
      <c r="M54" s="13">
        <f>SUM(AL54:AQ54)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4">
        <f>SUM(T54:Y54)</f>
        <v/>
      </c>
      <c r="Q54" s="4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>
        <f>'By Round'!A73</f>
        <v/>
      </c>
      <c r="C55">
        <f>'By Round'!B85</f>
        <v/>
      </c>
      <c r="D55">
        <f>'By Round'!C85</f>
        <v/>
      </c>
      <c r="E55">
        <f>'By Round'!D85</f>
        <v/>
      </c>
      <c r="F55" s="11" t="inlineStr">
        <is>
          <t>None</t>
        </is>
      </c>
      <c r="G55">
        <f>IF(ISBLANK('By Round'!G85),"",'By Round'!G85)</f>
        <v/>
      </c>
      <c r="H55">
        <f>IF(ISBLANK('By Round'!H85),"",'By Round'!H85)</f>
        <v/>
      </c>
      <c r="I55">
        <f>IF(ISBLANK('By Round'!I85),"",'By Round'!I85)</f>
        <v/>
      </c>
      <c r="J55">
        <f>IF(ISBLANK('By Round'!J85),"",'By Round'!J85)</f>
        <v/>
      </c>
      <c r="K55">
        <f>IF(ISBLANK('By Round'!K85),"",'By Round'!K85)</f>
        <v/>
      </c>
      <c r="L55" s="12">
        <f>SUM(AF55:AK55)</f>
        <v/>
      </c>
      <c r="M55" s="13">
        <f>SUM(AL55:AQ55)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4">
        <f>SUM(T55:Y55)</f>
        <v/>
      </c>
      <c r="Q55" s="4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>
        <f>'By Round'!A87</f>
        <v/>
      </c>
      <c r="C56">
        <f>'By Round'!B97</f>
        <v/>
      </c>
      <c r="D56">
        <f>'By Round'!C97</f>
        <v/>
      </c>
      <c r="E56">
        <f>'By Round'!D97</f>
        <v/>
      </c>
      <c r="F56" s="11" t="inlineStr">
        <is>
          <t>None</t>
        </is>
      </c>
      <c r="G56">
        <f>IF(ISBLANK('By Round'!G97),"",'By Round'!G97)</f>
        <v/>
      </c>
      <c r="H56">
        <f>IF(ISBLANK('By Round'!H97),"",'By Round'!H97)</f>
        <v/>
      </c>
      <c r="I56">
        <f>IF(ISBLANK('By Round'!I97),"",'By Round'!I97)</f>
        <v/>
      </c>
      <c r="J56">
        <f>IF(ISBLANK('By Round'!J97),"",'By Round'!J97)</f>
        <v/>
      </c>
      <c r="K56">
        <f>IF(ISBLANK('By Round'!K97),"",'By Round'!K97)</f>
        <v/>
      </c>
      <c r="L56" s="12">
        <f>SUM(AF56:AK56)</f>
        <v/>
      </c>
      <c r="M56" s="13">
        <f>SUM(AL56:AQ56)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4">
        <f>SUM(T56:Y56)</f>
        <v/>
      </c>
      <c r="Q56" s="4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>
        <f>'By Round'!A101</f>
        <v/>
      </c>
      <c r="C57">
        <f>'By Round'!B109</f>
        <v/>
      </c>
      <c r="D57">
        <f>'By Round'!C109</f>
        <v/>
      </c>
      <c r="E57">
        <f>'By Round'!D109</f>
        <v/>
      </c>
      <c r="F57" s="11" t="inlineStr">
        <is>
          <t>None</t>
        </is>
      </c>
      <c r="G57">
        <f>IF(ISBLANK('By Round'!G109),"",'By Round'!G109)</f>
        <v/>
      </c>
      <c r="H57">
        <f>IF(ISBLANK('By Round'!H109),"",'By Round'!H109)</f>
        <v/>
      </c>
      <c r="I57">
        <f>IF(ISBLANK('By Round'!I109),"",'By Round'!I109)</f>
        <v/>
      </c>
      <c r="J57">
        <f>IF(ISBLANK('By Round'!J109),"",'By Round'!J109)</f>
        <v/>
      </c>
      <c r="K57">
        <f>IF(ISBLANK('By Round'!K109),"",'By Round'!K109)</f>
        <v/>
      </c>
      <c r="L57" s="12">
        <f>SUM(AF57:AK57)</f>
        <v/>
      </c>
      <c r="M57" s="13">
        <f>SUM(AL57:AQ57)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4">
        <f>SUM(T57:Y57)</f>
        <v/>
      </c>
      <c r="Q57" s="4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5">
        <f>'By Round'!A171</f>
        <v/>
      </c>
      <c r="C58" s="15">
        <f>'By Round'!B177</f>
        <v/>
      </c>
      <c r="D58" s="15">
        <f>'By Round'!C177</f>
        <v/>
      </c>
      <c r="E58" s="15">
        <f>'By Round'!D177</f>
        <v/>
      </c>
      <c r="F58" s="16" t="inlineStr">
        <is>
          <t>None</t>
        </is>
      </c>
      <c r="G58" s="15">
        <f>IF(ISBLANK('By Round'!G177),"",'By Round'!G177)</f>
        <v/>
      </c>
      <c r="H58" s="15">
        <f>IF(ISBLANK('By Round'!H177),"",'By Round'!H177)</f>
        <v/>
      </c>
      <c r="I58" s="15">
        <f>IF(ISBLANK('By Round'!I177),"",'By Round'!I177)</f>
        <v/>
      </c>
      <c r="J58" s="15">
        <f>IF(ISBLANK('By Round'!J177),"",'By Round'!J177)</f>
        <v/>
      </c>
      <c r="K58" s="15">
        <f>IF(ISBLANK('By Round'!K177),"",'By Round'!K177)</f>
        <v/>
      </c>
      <c r="L58" s="17">
        <f>SUM(AF58:AK58)</f>
        <v/>
      </c>
      <c r="M58" s="18">
        <f>SUM(AL58:AQ58)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t="n">
        <v>9</v>
      </c>
      <c r="B59">
        <f>'By Round'!A3</f>
        <v/>
      </c>
      <c r="C59">
        <f>'By Round'!B9</f>
        <v/>
      </c>
      <c r="D59">
        <f>'By Round'!C9</f>
        <v/>
      </c>
      <c r="E59">
        <f>'By Round'!D9</f>
        <v/>
      </c>
      <c r="F59" s="11" t="inlineStr">
        <is>
          <t>EW</t>
        </is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2">
        <f>SUM(AF59:AK59)</f>
        <v/>
      </c>
      <c r="M59" s="13">
        <f>SUM(AL59:AQ59)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4">
        <f>SUM(T59:Y59)</f>
        <v/>
      </c>
      <c r="Q59" s="4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>
        <f>'By Round'!A17</f>
        <v/>
      </c>
      <c r="C60">
        <f>'By Round'!B21</f>
        <v/>
      </c>
      <c r="D60">
        <f>'By Round'!C21</f>
        <v/>
      </c>
      <c r="E60">
        <f>'By Round'!D21</f>
        <v/>
      </c>
      <c r="F60" s="11" t="inlineStr">
        <is>
          <t>EW</t>
        </is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2">
        <f>SUM(AF60:AK60)</f>
        <v/>
      </c>
      <c r="M60" s="13">
        <f>SUM(AL60:AQ60)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4">
        <f>SUM(T60:Y60)</f>
        <v/>
      </c>
      <c r="Q60" s="4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>
        <f>'By Round'!A31</f>
        <v/>
      </c>
      <c r="C61">
        <f>'By Round'!B33</f>
        <v/>
      </c>
      <c r="D61">
        <f>'By Round'!C33</f>
        <v/>
      </c>
      <c r="E61">
        <f>'By Round'!D33</f>
        <v/>
      </c>
      <c r="F61" s="11" t="inlineStr">
        <is>
          <t>EW</t>
        </is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2">
        <f>SUM(AF61:AK61)</f>
        <v/>
      </c>
      <c r="M61" s="13">
        <f>SUM(AL61:AQ61)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4">
        <f>SUM(T61:Y61)</f>
        <v/>
      </c>
      <c r="Q61" s="4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>
        <f>'By Round'!A59</f>
        <v/>
      </c>
      <c r="C62">
        <f>'By Round'!B59</f>
        <v/>
      </c>
      <c r="D62">
        <f>'By Round'!C59</f>
        <v/>
      </c>
      <c r="E62">
        <f>'By Round'!D59</f>
        <v/>
      </c>
      <c r="F62" s="11" t="inlineStr">
        <is>
          <t>EW</t>
        </is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2">
        <f>SUM(AF62:AK62)</f>
        <v/>
      </c>
      <c r="M62" s="13">
        <f>SUM(AL62:AQ62)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4">
        <f>SUM(T62:Y62)</f>
        <v/>
      </c>
      <c r="Q62" s="4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>
        <f>'By Round'!A87</f>
        <v/>
      </c>
      <c r="C63">
        <f>'By Round'!B99</f>
        <v/>
      </c>
      <c r="D63">
        <f>'By Round'!C99</f>
        <v/>
      </c>
      <c r="E63">
        <f>'By Round'!D99</f>
        <v/>
      </c>
      <c r="F63" s="11" t="inlineStr">
        <is>
          <t>EW</t>
        </is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2">
        <f>SUM(AF63:AK63)</f>
        <v/>
      </c>
      <c r="M63" s="13">
        <f>SUM(AL63:AQ63)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4">
        <f>SUM(T63:Y63)</f>
        <v/>
      </c>
      <c r="Q63" s="4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>
        <f>'By Round'!A101</f>
        <v/>
      </c>
      <c r="C64">
        <f>'By Round'!B111</f>
        <v/>
      </c>
      <c r="D64">
        <f>'By Round'!C111</f>
        <v/>
      </c>
      <c r="E64">
        <f>'By Round'!D111</f>
        <v/>
      </c>
      <c r="F64" s="11" t="inlineStr">
        <is>
          <t>EW</t>
        </is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2">
        <f>SUM(AF64:AK64)</f>
        <v/>
      </c>
      <c r="M64" s="13">
        <f>SUM(AL64:AQ64)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4">
        <f>SUM(T64:Y64)</f>
        <v/>
      </c>
      <c r="Q64" s="4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5">
        <f>'By Round'!A115</f>
        <v/>
      </c>
      <c r="C65" s="15">
        <f>'By Round'!B123</f>
        <v/>
      </c>
      <c r="D65" s="15">
        <f>'By Round'!C123</f>
        <v/>
      </c>
      <c r="E65" s="15">
        <f>'By Round'!D123</f>
        <v/>
      </c>
      <c r="F65" s="16" t="inlineStr">
        <is>
          <t>EW</t>
        </is>
      </c>
      <c r="G65" s="15">
        <f>IF(ISBLANK('By Round'!G123),"",'By Round'!G123)</f>
        <v/>
      </c>
      <c r="H65" s="15">
        <f>IF(ISBLANK('By Round'!H123),"",'By Round'!H123)</f>
        <v/>
      </c>
      <c r="I65" s="15">
        <f>IF(ISBLANK('By Round'!I123),"",'By Round'!I123)</f>
        <v/>
      </c>
      <c r="J65" s="15">
        <f>IF(ISBLANK('By Round'!J123),"",'By Round'!J123)</f>
        <v/>
      </c>
      <c r="K65" s="15">
        <f>IF(ISBLANK('By Round'!K123),"",'By Round'!K123)</f>
        <v/>
      </c>
      <c r="L65" s="17">
        <f>SUM(AF65:AK65)</f>
        <v/>
      </c>
      <c r="M65" s="18">
        <f>SUM(AL65:AQ65)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t="n">
        <v>10</v>
      </c>
      <c r="B66">
        <f>'By Round'!A3</f>
        <v/>
      </c>
      <c r="C66">
        <f>'By Round'!B9</f>
        <v/>
      </c>
      <c r="D66">
        <f>'By Round'!C9</f>
        <v/>
      </c>
      <c r="E66">
        <f>'By Round'!D9</f>
        <v/>
      </c>
      <c r="F66" s="11" t="inlineStr">
        <is>
          <t>Both</t>
        </is>
      </c>
      <c r="G66">
        <f>IF(ISBLANK('By Round'!G9),"",'By Round'!G9)</f>
        <v/>
      </c>
      <c r="H66">
        <f>IF(ISBLANK('By Round'!H9),"",'By Round'!H9)</f>
        <v/>
      </c>
      <c r="I66">
        <f>IF(ISBLANK('By Round'!I9),"",'By Round'!I9)</f>
        <v/>
      </c>
      <c r="J66">
        <f>IF(ISBLANK('By Round'!J9),"",'By Round'!J9)</f>
        <v/>
      </c>
      <c r="K66">
        <f>IF(ISBLANK('By Round'!K9),"",'By Round'!K9)</f>
        <v/>
      </c>
      <c r="L66" s="12">
        <f>SUM(AF66:AK66)</f>
        <v/>
      </c>
      <c r="M66" s="13">
        <f>SUM(AL66:AQ66)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4">
        <f>SUM(T66:Y66)</f>
        <v/>
      </c>
      <c r="Q66" s="4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>
        <f>'By Round'!A17</f>
        <v/>
      </c>
      <c r="C67">
        <f>'By Round'!B21</f>
        <v/>
      </c>
      <c r="D67">
        <f>'By Round'!C21</f>
        <v/>
      </c>
      <c r="E67">
        <f>'By Round'!D21</f>
        <v/>
      </c>
      <c r="F67" s="11" t="inlineStr">
        <is>
          <t>Both</t>
        </is>
      </c>
      <c r="G67">
        <f>IF(ISBLANK('By Round'!G21),"",'By Round'!G21)</f>
        <v/>
      </c>
      <c r="H67">
        <f>IF(ISBLANK('By Round'!H21),"",'By Round'!H21)</f>
        <v/>
      </c>
      <c r="I67">
        <f>IF(ISBLANK('By Round'!I21),"",'By Round'!I21)</f>
        <v/>
      </c>
      <c r="J67">
        <f>IF(ISBLANK('By Round'!J21),"",'By Round'!J21)</f>
        <v/>
      </c>
      <c r="K67">
        <f>IF(ISBLANK('By Round'!K21),"",'By Round'!K21)</f>
        <v/>
      </c>
      <c r="L67" s="12">
        <f>SUM(AF67:AK67)</f>
        <v/>
      </c>
      <c r="M67" s="13">
        <f>SUM(AL67:AQ67)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4">
        <f>SUM(T67:Y67)</f>
        <v/>
      </c>
      <c r="Q67" s="4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>
        <f>'By Round'!A31</f>
        <v/>
      </c>
      <c r="C68">
        <f>'By Round'!B33</f>
        <v/>
      </c>
      <c r="D68">
        <f>'By Round'!C33</f>
        <v/>
      </c>
      <c r="E68">
        <f>'By Round'!D33</f>
        <v/>
      </c>
      <c r="F68" s="11" t="inlineStr">
        <is>
          <t>Both</t>
        </is>
      </c>
      <c r="G68">
        <f>IF(ISBLANK('By Round'!G33),"",'By Round'!G33)</f>
        <v/>
      </c>
      <c r="H68">
        <f>IF(ISBLANK('By Round'!H33),"",'By Round'!H33)</f>
        <v/>
      </c>
      <c r="I68">
        <f>IF(ISBLANK('By Round'!I33),"",'By Round'!I33)</f>
        <v/>
      </c>
      <c r="J68">
        <f>IF(ISBLANK('By Round'!J33),"",'By Round'!J33)</f>
        <v/>
      </c>
      <c r="K68">
        <f>IF(ISBLANK('By Round'!K33),"",'By Round'!K33)</f>
        <v/>
      </c>
      <c r="L68" s="12">
        <f>SUM(AF68:AK68)</f>
        <v/>
      </c>
      <c r="M68" s="13">
        <f>SUM(AL68:AQ68)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4">
        <f>SUM(T68:Y68)</f>
        <v/>
      </c>
      <c r="Q68" s="4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>
        <f>'By Round'!A59</f>
        <v/>
      </c>
      <c r="C69">
        <f>'By Round'!B59</f>
        <v/>
      </c>
      <c r="D69">
        <f>'By Round'!C59</f>
        <v/>
      </c>
      <c r="E69">
        <f>'By Round'!D59</f>
        <v/>
      </c>
      <c r="F69" s="11" t="inlineStr">
        <is>
          <t>Both</t>
        </is>
      </c>
      <c r="G69">
        <f>IF(ISBLANK('By Round'!G59),"",'By Round'!G59)</f>
        <v/>
      </c>
      <c r="H69">
        <f>IF(ISBLANK('By Round'!H59),"",'By Round'!H59)</f>
        <v/>
      </c>
      <c r="I69">
        <f>IF(ISBLANK('By Round'!I59),"",'By Round'!I59)</f>
        <v/>
      </c>
      <c r="J69">
        <f>IF(ISBLANK('By Round'!J59),"",'By Round'!J59)</f>
        <v/>
      </c>
      <c r="K69">
        <f>IF(ISBLANK('By Round'!K59),"",'By Round'!K59)</f>
        <v/>
      </c>
      <c r="L69" s="12">
        <f>SUM(AF69:AK69)</f>
        <v/>
      </c>
      <c r="M69" s="13">
        <f>SUM(AL69:AQ69)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4">
        <f>SUM(T69:Y69)</f>
        <v/>
      </c>
      <c r="Q69" s="4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>
        <f>'By Round'!A87</f>
        <v/>
      </c>
      <c r="C70">
        <f>'By Round'!B99</f>
        <v/>
      </c>
      <c r="D70">
        <f>'By Round'!C99</f>
        <v/>
      </c>
      <c r="E70">
        <f>'By Round'!D99</f>
        <v/>
      </c>
      <c r="F70" s="11" t="inlineStr">
        <is>
          <t>Both</t>
        </is>
      </c>
      <c r="G70">
        <f>IF(ISBLANK('By Round'!G99),"",'By Round'!G99)</f>
        <v/>
      </c>
      <c r="H70">
        <f>IF(ISBLANK('By Round'!H99),"",'By Round'!H99)</f>
        <v/>
      </c>
      <c r="I70">
        <f>IF(ISBLANK('By Round'!I99),"",'By Round'!I99)</f>
        <v/>
      </c>
      <c r="J70">
        <f>IF(ISBLANK('By Round'!J99),"",'By Round'!J99)</f>
        <v/>
      </c>
      <c r="K70">
        <f>IF(ISBLANK('By Round'!K99),"",'By Round'!K99)</f>
        <v/>
      </c>
      <c r="L70" s="12">
        <f>SUM(AF70:AK70)</f>
        <v/>
      </c>
      <c r="M70" s="13">
        <f>SUM(AL70:AQ70)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4">
        <f>SUM(T70:Y70)</f>
        <v/>
      </c>
      <c r="Q70" s="4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>
        <f>'By Round'!A101</f>
        <v/>
      </c>
      <c r="C71">
        <f>'By Round'!B111</f>
        <v/>
      </c>
      <c r="D71">
        <f>'By Round'!C111</f>
        <v/>
      </c>
      <c r="E71">
        <f>'By Round'!D111</f>
        <v/>
      </c>
      <c r="F71" s="11" t="inlineStr">
        <is>
          <t>Both</t>
        </is>
      </c>
      <c r="G71">
        <f>IF(ISBLANK('By Round'!G111),"",'By Round'!G111)</f>
        <v/>
      </c>
      <c r="H71">
        <f>IF(ISBLANK('By Round'!H111),"",'By Round'!H111)</f>
        <v/>
      </c>
      <c r="I71">
        <f>IF(ISBLANK('By Round'!I111),"",'By Round'!I111)</f>
        <v/>
      </c>
      <c r="J71">
        <f>IF(ISBLANK('By Round'!J111),"",'By Round'!J111)</f>
        <v/>
      </c>
      <c r="K71">
        <f>IF(ISBLANK('By Round'!K111),"",'By Round'!K111)</f>
        <v/>
      </c>
      <c r="L71" s="12">
        <f>SUM(AF71:AK71)</f>
        <v/>
      </c>
      <c r="M71" s="13">
        <f>SUM(AL71:AQ71)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4">
        <f>SUM(T71:Y71)</f>
        <v/>
      </c>
      <c r="Q71" s="4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5">
        <f>'By Round'!A115</f>
        <v/>
      </c>
      <c r="C72" s="15">
        <f>'By Round'!B123</f>
        <v/>
      </c>
      <c r="D72" s="15">
        <f>'By Round'!C123</f>
        <v/>
      </c>
      <c r="E72" s="15">
        <f>'By Round'!D123</f>
        <v/>
      </c>
      <c r="F72" s="16" t="inlineStr">
        <is>
          <t>Both</t>
        </is>
      </c>
      <c r="G72" s="15">
        <f>IF(ISBLANK('By Round'!G123),"",'By Round'!G123)</f>
        <v/>
      </c>
      <c r="H72" s="15">
        <f>IF(ISBLANK('By Round'!H123),"",'By Round'!H123)</f>
        <v/>
      </c>
      <c r="I72" s="15">
        <f>IF(ISBLANK('By Round'!I123),"",'By Round'!I123)</f>
        <v/>
      </c>
      <c r="J72" s="15">
        <f>IF(ISBLANK('By Round'!J123),"",'By Round'!J123)</f>
        <v/>
      </c>
      <c r="K72" s="15">
        <f>IF(ISBLANK('By Round'!K123),"",'By Round'!K123)</f>
        <v/>
      </c>
      <c r="L72" s="17">
        <f>SUM(AF72:AK72)</f>
        <v/>
      </c>
      <c r="M72" s="18">
        <f>SUM(AL72:AQ72)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t="n">
        <v>11</v>
      </c>
      <c r="B73">
        <f>'By Round'!A17</f>
        <v/>
      </c>
      <c r="C73">
        <f>'By Round'!B23</f>
        <v/>
      </c>
      <c r="D73">
        <f>'By Round'!C23</f>
        <v/>
      </c>
      <c r="E73">
        <f>'By Round'!D23</f>
        <v/>
      </c>
      <c r="F73" s="11" t="inlineStr">
        <is>
          <t>None</t>
        </is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2">
        <f>SUM(AF73:AK73)</f>
        <v/>
      </c>
      <c r="M73" s="13">
        <f>SUM(AL73:AQ73)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4">
        <f>SUM(T73:Y73)</f>
        <v/>
      </c>
      <c r="Q73" s="4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>
        <f>'By Round'!A31</f>
        <v/>
      </c>
      <c r="C74">
        <f>'By Round'!B35</f>
        <v/>
      </c>
      <c r="D74">
        <f>'By Round'!C35</f>
        <v/>
      </c>
      <c r="E74">
        <f>'By Round'!D35</f>
        <v/>
      </c>
      <c r="F74" s="11" t="inlineStr">
        <is>
          <t>None</t>
        </is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2">
        <f>SUM(AF74:AK74)</f>
        <v/>
      </c>
      <c r="M74" s="13">
        <f>SUM(AL74:AQ74)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4">
        <f>SUM(T74:Y74)</f>
        <v/>
      </c>
      <c r="Q74" s="4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>
        <f>'By Round'!A45</f>
        <v/>
      </c>
      <c r="C75">
        <f>'By Round'!B47</f>
        <v/>
      </c>
      <c r="D75">
        <f>'By Round'!C47</f>
        <v/>
      </c>
      <c r="E75">
        <f>'By Round'!D47</f>
        <v/>
      </c>
      <c r="F75" s="11" t="inlineStr">
        <is>
          <t>None</t>
        </is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2">
        <f>SUM(AF75:AK75)</f>
        <v/>
      </c>
      <c r="M75" s="13">
        <f>SUM(AL75:AQ75)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4">
        <f>SUM(T75:Y75)</f>
        <v/>
      </c>
      <c r="Q75" s="4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None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SUM(AF76:AK76)</f>
        <v/>
      </c>
      <c r="M76" s="13">
        <f>SUM(AL76:AQ76)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4">
        <f>SUM(T76:Y76)</f>
        <v/>
      </c>
      <c r="Q76" s="4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>
        <f>'By Round'!A101</f>
        <v/>
      </c>
      <c r="C77">
        <f>'By Round'!B113</f>
        <v/>
      </c>
      <c r="D77">
        <f>'By Round'!C113</f>
        <v/>
      </c>
      <c r="E77">
        <f>'By Round'!D113</f>
        <v/>
      </c>
      <c r="F77" s="11" t="inlineStr">
        <is>
          <t>None</t>
        </is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2">
        <f>SUM(AF77:AK77)</f>
        <v/>
      </c>
      <c r="M77" s="13">
        <f>SUM(AL77:AQ77)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4">
        <f>SUM(T77:Y77)</f>
        <v/>
      </c>
      <c r="Q77" s="4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>
        <f>'By Round'!A115</f>
        <v/>
      </c>
      <c r="C78">
        <f>'By Round'!B125</f>
        <v/>
      </c>
      <c r="D78">
        <f>'By Round'!C125</f>
        <v/>
      </c>
      <c r="E78">
        <f>'By Round'!D125</f>
        <v/>
      </c>
      <c r="F78" s="11" t="inlineStr">
        <is>
          <t>None</t>
        </is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2">
        <f>SUM(AF78:AK78)</f>
        <v/>
      </c>
      <c r="M78" s="13">
        <f>SUM(AL78:AQ78)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4">
        <f>SUM(T78:Y78)</f>
        <v/>
      </c>
      <c r="Q78" s="4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5">
        <f>'By Round'!A129</f>
        <v/>
      </c>
      <c r="C79" s="15">
        <f>'By Round'!B137</f>
        <v/>
      </c>
      <c r="D79" s="15">
        <f>'By Round'!C137</f>
        <v/>
      </c>
      <c r="E79" s="15">
        <f>'By Round'!D137</f>
        <v/>
      </c>
      <c r="F79" s="16" t="inlineStr">
        <is>
          <t>None</t>
        </is>
      </c>
      <c r="G79" s="15">
        <f>IF(ISBLANK('By Round'!G137),"",'By Round'!G137)</f>
        <v/>
      </c>
      <c r="H79" s="15">
        <f>IF(ISBLANK('By Round'!H137),"",'By Round'!H137)</f>
        <v/>
      </c>
      <c r="I79" s="15">
        <f>IF(ISBLANK('By Round'!I137),"",'By Round'!I137)</f>
        <v/>
      </c>
      <c r="J79" s="15">
        <f>IF(ISBLANK('By Round'!J137),"",'By Round'!J137)</f>
        <v/>
      </c>
      <c r="K79" s="15">
        <f>IF(ISBLANK('By Round'!K137),"",'By Round'!K137)</f>
        <v/>
      </c>
      <c r="L79" s="17">
        <f>SUM(AF79:AK79)</f>
        <v/>
      </c>
      <c r="M79" s="18">
        <f>SUM(AL79:AQ79)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t="n">
        <v>12</v>
      </c>
      <c r="B80">
        <f>'By Round'!A17</f>
        <v/>
      </c>
      <c r="C80">
        <f>'By Round'!B23</f>
        <v/>
      </c>
      <c r="D80">
        <f>'By Round'!C23</f>
        <v/>
      </c>
      <c r="E80">
        <f>'By Round'!D23</f>
        <v/>
      </c>
      <c r="F80" s="11" t="inlineStr">
        <is>
          <t>NS</t>
        </is>
      </c>
      <c r="G80">
        <f>IF(ISBLANK('By Round'!G23),"",'By Round'!G23)</f>
        <v/>
      </c>
      <c r="H80">
        <f>IF(ISBLANK('By Round'!H23),"",'By Round'!H23)</f>
        <v/>
      </c>
      <c r="I80">
        <f>IF(ISBLANK('By Round'!I23),"",'By Round'!I23)</f>
        <v/>
      </c>
      <c r="J80">
        <f>IF(ISBLANK('By Round'!J23),"",'By Round'!J23)</f>
        <v/>
      </c>
      <c r="K80">
        <f>IF(ISBLANK('By Round'!K23),"",'By Round'!K23)</f>
        <v/>
      </c>
      <c r="L80" s="12">
        <f>SUM(AF80:AK80)</f>
        <v/>
      </c>
      <c r="M80" s="13">
        <f>SUM(AL80:AQ80)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4">
        <f>SUM(T80:Y80)</f>
        <v/>
      </c>
      <c r="Q80" s="4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>
        <f>'By Round'!A31</f>
        <v/>
      </c>
      <c r="C81">
        <f>'By Round'!B35</f>
        <v/>
      </c>
      <c r="D81">
        <f>'By Round'!C35</f>
        <v/>
      </c>
      <c r="E81">
        <f>'By Round'!D35</f>
        <v/>
      </c>
      <c r="F81" s="11" t="inlineStr">
        <is>
          <t>NS</t>
        </is>
      </c>
      <c r="G81">
        <f>IF(ISBLANK('By Round'!G35),"",'By Round'!G35)</f>
        <v/>
      </c>
      <c r="H81">
        <f>IF(ISBLANK('By Round'!H35),"",'By Round'!H35)</f>
        <v/>
      </c>
      <c r="I81">
        <f>IF(ISBLANK('By Round'!I35),"",'By Round'!I35)</f>
        <v/>
      </c>
      <c r="J81">
        <f>IF(ISBLANK('By Round'!J35),"",'By Round'!J35)</f>
        <v/>
      </c>
      <c r="K81">
        <f>IF(ISBLANK('By Round'!K35),"",'By Round'!K35)</f>
        <v/>
      </c>
      <c r="L81" s="12">
        <f>SUM(AF81:AK81)</f>
        <v/>
      </c>
      <c r="M81" s="13">
        <f>SUM(AL81:AQ81)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4">
        <f>SUM(T81:Y81)</f>
        <v/>
      </c>
      <c r="Q81" s="4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>
        <f>'By Round'!A45</f>
        <v/>
      </c>
      <c r="C82">
        <f>'By Round'!B47</f>
        <v/>
      </c>
      <c r="D82">
        <f>'By Round'!C47</f>
        <v/>
      </c>
      <c r="E82">
        <f>'By Round'!D47</f>
        <v/>
      </c>
      <c r="F82" s="11" t="inlineStr">
        <is>
          <t>NS</t>
        </is>
      </c>
      <c r="G82">
        <f>IF(ISBLANK('By Round'!G47),"",'By Round'!G47)</f>
        <v/>
      </c>
      <c r="H82">
        <f>IF(ISBLANK('By Round'!H47),"",'By Round'!H47)</f>
        <v/>
      </c>
      <c r="I82">
        <f>IF(ISBLANK('By Round'!I47),"",'By Round'!I47)</f>
        <v/>
      </c>
      <c r="J82">
        <f>IF(ISBLANK('By Round'!J47),"",'By Round'!J47)</f>
        <v/>
      </c>
      <c r="K82">
        <f>IF(ISBLANK('By Round'!K47),"",'By Round'!K47)</f>
        <v/>
      </c>
      <c r="L82" s="12">
        <f>SUM(AF82:AK82)</f>
        <v/>
      </c>
      <c r="M82" s="13">
        <f>SUM(AL82:AQ82)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4">
        <f>SUM(T82:Y82)</f>
        <v/>
      </c>
      <c r="Q82" s="4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>
        <f>'By Round'!A73</f>
        <v/>
      </c>
      <c r="C83">
        <f>'By Round'!B73</f>
        <v/>
      </c>
      <c r="D83">
        <f>'By Round'!C73</f>
        <v/>
      </c>
      <c r="E83">
        <f>'By Round'!D73</f>
        <v/>
      </c>
      <c r="F83" s="11" t="inlineStr">
        <is>
          <t>NS</t>
        </is>
      </c>
      <c r="G83">
        <f>IF(ISBLANK('By Round'!G73),"",'By Round'!G73)</f>
        <v/>
      </c>
      <c r="H83">
        <f>IF(ISBLANK('By Round'!H73),"",'By Round'!H73)</f>
        <v/>
      </c>
      <c r="I83">
        <f>IF(ISBLANK('By Round'!I73),"",'By Round'!I73)</f>
        <v/>
      </c>
      <c r="J83">
        <f>IF(ISBLANK('By Round'!J73),"",'By Round'!J73)</f>
        <v/>
      </c>
      <c r="K83">
        <f>IF(ISBLANK('By Round'!K73),"",'By Round'!K73)</f>
        <v/>
      </c>
      <c r="L83" s="12">
        <f>SUM(AF83:AK83)</f>
        <v/>
      </c>
      <c r="M83" s="13">
        <f>SUM(AL83:AQ83)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4">
        <f>SUM(T83:Y83)</f>
        <v/>
      </c>
      <c r="Q83" s="4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>
        <f>'By Round'!A101</f>
        <v/>
      </c>
      <c r="C84">
        <f>'By Round'!B113</f>
        <v/>
      </c>
      <c r="D84">
        <f>'By Round'!C113</f>
        <v/>
      </c>
      <c r="E84">
        <f>'By Round'!D113</f>
        <v/>
      </c>
      <c r="F84" s="11" t="inlineStr">
        <is>
          <t>NS</t>
        </is>
      </c>
      <c r="G84">
        <f>IF(ISBLANK('By Round'!G113),"",'By Round'!G113)</f>
        <v/>
      </c>
      <c r="H84">
        <f>IF(ISBLANK('By Round'!H113),"",'By Round'!H113)</f>
        <v/>
      </c>
      <c r="I84">
        <f>IF(ISBLANK('By Round'!I113),"",'By Round'!I113)</f>
        <v/>
      </c>
      <c r="J84">
        <f>IF(ISBLANK('By Round'!J113),"",'By Round'!J113)</f>
        <v/>
      </c>
      <c r="K84">
        <f>IF(ISBLANK('By Round'!K113),"",'By Round'!K113)</f>
        <v/>
      </c>
      <c r="L84" s="12">
        <f>SUM(AF84:AK84)</f>
        <v/>
      </c>
      <c r="M84" s="13">
        <f>SUM(AL84:AQ84)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4">
        <f>SUM(T84:Y84)</f>
        <v/>
      </c>
      <c r="Q84" s="4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>
        <f>'By Round'!A115</f>
        <v/>
      </c>
      <c r="C85">
        <f>'By Round'!B125</f>
        <v/>
      </c>
      <c r="D85">
        <f>'By Round'!C125</f>
        <v/>
      </c>
      <c r="E85">
        <f>'By Round'!D125</f>
        <v/>
      </c>
      <c r="F85" s="11" t="inlineStr">
        <is>
          <t>NS</t>
        </is>
      </c>
      <c r="G85">
        <f>IF(ISBLANK('By Round'!G125),"",'By Round'!G125)</f>
        <v/>
      </c>
      <c r="H85">
        <f>IF(ISBLANK('By Round'!H125),"",'By Round'!H125)</f>
        <v/>
      </c>
      <c r="I85">
        <f>IF(ISBLANK('By Round'!I125),"",'By Round'!I125)</f>
        <v/>
      </c>
      <c r="J85">
        <f>IF(ISBLANK('By Round'!J125),"",'By Round'!J125)</f>
        <v/>
      </c>
      <c r="K85">
        <f>IF(ISBLANK('By Round'!K125),"",'By Round'!K125)</f>
        <v/>
      </c>
      <c r="L85" s="12">
        <f>SUM(AF85:AK85)</f>
        <v/>
      </c>
      <c r="M85" s="13">
        <f>SUM(AL85:AQ85)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4">
        <f>SUM(T85:Y85)</f>
        <v/>
      </c>
      <c r="Q85" s="4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5">
        <f>'By Round'!A129</f>
        <v/>
      </c>
      <c r="C86" s="15">
        <f>'By Round'!B137</f>
        <v/>
      </c>
      <c r="D86" s="15">
        <f>'By Round'!C137</f>
        <v/>
      </c>
      <c r="E86" s="15">
        <f>'By Round'!D137</f>
        <v/>
      </c>
      <c r="F86" s="16" t="inlineStr">
        <is>
          <t>NS</t>
        </is>
      </c>
      <c r="G86" s="15">
        <f>IF(ISBLANK('By Round'!G137),"",'By Round'!G137)</f>
        <v/>
      </c>
      <c r="H86" s="15">
        <f>IF(ISBLANK('By Round'!H137),"",'By Round'!H137)</f>
        <v/>
      </c>
      <c r="I86" s="15">
        <f>IF(ISBLANK('By Round'!I137),"",'By Round'!I137)</f>
        <v/>
      </c>
      <c r="J86" s="15">
        <f>IF(ISBLANK('By Round'!J137),"",'By Round'!J137)</f>
        <v/>
      </c>
      <c r="K86" s="15">
        <f>IF(ISBLANK('By Round'!K137),"",'By Round'!K137)</f>
        <v/>
      </c>
      <c r="L86" s="17">
        <f>SUM(AF86:AK86)</f>
        <v/>
      </c>
      <c r="M86" s="18">
        <f>SUM(AL86:AQ86)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t="n">
        <v>13</v>
      </c>
      <c r="B87">
        <f>'By Round'!A31</f>
        <v/>
      </c>
      <c r="C87">
        <f>'By Round'!B37</f>
        <v/>
      </c>
      <c r="D87">
        <f>'By Round'!C37</f>
        <v/>
      </c>
      <c r="E87">
        <f>'By Round'!D37</f>
        <v/>
      </c>
      <c r="F87" s="11" t="inlineStr">
        <is>
          <t>Both</t>
        </is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2">
        <f>SUM(AF87:AK87)</f>
        <v/>
      </c>
      <c r="M87" s="13">
        <f>SUM(AL87:AQ87)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4">
        <f>SUM(T87:Y87)</f>
        <v/>
      </c>
      <c r="Q87" s="4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>
        <f>'By Round'!A45</f>
        <v/>
      </c>
      <c r="C88">
        <f>'By Round'!B49</f>
        <v/>
      </c>
      <c r="D88">
        <f>'By Round'!C49</f>
        <v/>
      </c>
      <c r="E88">
        <f>'By Round'!D49</f>
        <v/>
      </c>
      <c r="F88" s="11" t="inlineStr">
        <is>
          <t>Both</t>
        </is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2">
        <f>SUM(AF88:AK88)</f>
        <v/>
      </c>
      <c r="M88" s="13">
        <f>SUM(AL88:AQ88)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4">
        <f>SUM(T88:Y88)</f>
        <v/>
      </c>
      <c r="Q88" s="4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>
        <f>'By Round'!A59</f>
        <v/>
      </c>
      <c r="C89">
        <f>'By Round'!B61</f>
        <v/>
      </c>
      <c r="D89">
        <f>'By Round'!C61</f>
        <v/>
      </c>
      <c r="E89">
        <f>'By Round'!D61</f>
        <v/>
      </c>
      <c r="F89" s="11" t="inlineStr">
        <is>
          <t>Both</t>
        </is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2">
        <f>SUM(AF89:AK89)</f>
        <v/>
      </c>
      <c r="M89" s="13">
        <f>SUM(AL89:AQ89)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4">
        <f>SUM(T89:Y89)</f>
        <v/>
      </c>
      <c r="Q89" s="4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Both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SUM(AF90:AK90)</f>
        <v/>
      </c>
      <c r="M90" s="13">
        <f>SUM(AL90:AQ90)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4">
        <f>SUM(T90:Y90)</f>
        <v/>
      </c>
      <c r="Q90" s="4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>
        <f>'By Round'!A115</f>
        <v/>
      </c>
      <c r="C91">
        <f>'By Round'!B127</f>
        <v/>
      </c>
      <c r="D91">
        <f>'By Round'!C127</f>
        <v/>
      </c>
      <c r="E91">
        <f>'By Round'!D127</f>
        <v/>
      </c>
      <c r="F91" s="11" t="inlineStr">
        <is>
          <t>Both</t>
        </is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2">
        <f>SUM(AF91:AK91)</f>
        <v/>
      </c>
      <c r="M91" s="13">
        <f>SUM(AL91:AQ91)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4">
        <f>SUM(T91:Y91)</f>
        <v/>
      </c>
      <c r="Q91" s="4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>
        <f>'By Round'!A129</f>
        <v/>
      </c>
      <c r="C92">
        <f>'By Round'!B139</f>
        <v/>
      </c>
      <c r="D92">
        <f>'By Round'!C139</f>
        <v/>
      </c>
      <c r="E92">
        <f>'By Round'!D139</f>
        <v/>
      </c>
      <c r="F92" s="11" t="inlineStr">
        <is>
          <t>Both</t>
        </is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2">
        <f>SUM(AF92:AK92)</f>
        <v/>
      </c>
      <c r="M92" s="13">
        <f>SUM(AL92:AQ92)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4">
        <f>SUM(T92:Y92)</f>
        <v/>
      </c>
      <c r="Q92" s="4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5">
        <f>'By Round'!A143</f>
        <v/>
      </c>
      <c r="C93" s="15">
        <f>'By Round'!B151</f>
        <v/>
      </c>
      <c r="D93" s="15">
        <f>'By Round'!C151</f>
        <v/>
      </c>
      <c r="E93" s="15">
        <f>'By Round'!D151</f>
        <v/>
      </c>
      <c r="F93" s="16" t="inlineStr">
        <is>
          <t>Both</t>
        </is>
      </c>
      <c r="G93" s="15">
        <f>IF(ISBLANK('By Round'!G151),"",'By Round'!G151)</f>
        <v/>
      </c>
      <c r="H93" s="15">
        <f>IF(ISBLANK('By Round'!H151),"",'By Round'!H151)</f>
        <v/>
      </c>
      <c r="I93" s="15">
        <f>IF(ISBLANK('By Round'!I151),"",'By Round'!I151)</f>
        <v/>
      </c>
      <c r="J93" s="15">
        <f>IF(ISBLANK('By Round'!J151),"",'By Round'!J151)</f>
        <v/>
      </c>
      <c r="K93" s="15">
        <f>IF(ISBLANK('By Round'!K151),"",'By Round'!K151)</f>
        <v/>
      </c>
      <c r="L93" s="17">
        <f>SUM(AF93:AK93)</f>
        <v/>
      </c>
      <c r="M93" s="18">
        <f>SUM(AL93:AQ93)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t="n">
        <v>14</v>
      </c>
      <c r="B94">
        <f>'By Round'!A31</f>
        <v/>
      </c>
      <c r="C94">
        <f>'By Round'!B37</f>
        <v/>
      </c>
      <c r="D94">
        <f>'By Round'!C37</f>
        <v/>
      </c>
      <c r="E94">
        <f>'By Round'!D37</f>
        <v/>
      </c>
      <c r="F94" s="11" t="inlineStr">
        <is>
          <t>None</t>
        </is>
      </c>
      <c r="G94">
        <f>IF(ISBLANK('By Round'!G37),"",'By Round'!G37)</f>
        <v/>
      </c>
      <c r="H94">
        <f>IF(ISBLANK('By Round'!H37),"",'By Round'!H37)</f>
        <v/>
      </c>
      <c r="I94">
        <f>IF(ISBLANK('By Round'!I37),"",'By Round'!I37)</f>
        <v/>
      </c>
      <c r="J94">
        <f>IF(ISBLANK('By Round'!J37),"",'By Round'!J37)</f>
        <v/>
      </c>
      <c r="K94">
        <f>IF(ISBLANK('By Round'!K37),"",'By Round'!K37)</f>
        <v/>
      </c>
      <c r="L94" s="12">
        <f>SUM(AF94:AK94)</f>
        <v/>
      </c>
      <c r="M94" s="13">
        <f>SUM(AL94:AQ94)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4">
        <f>SUM(T94:Y94)</f>
        <v/>
      </c>
      <c r="Q94" s="4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>
        <f>'By Round'!A45</f>
        <v/>
      </c>
      <c r="C95">
        <f>'By Round'!B49</f>
        <v/>
      </c>
      <c r="D95">
        <f>'By Round'!C49</f>
        <v/>
      </c>
      <c r="E95">
        <f>'By Round'!D49</f>
        <v/>
      </c>
      <c r="F95" s="11" t="inlineStr">
        <is>
          <t>None</t>
        </is>
      </c>
      <c r="G95">
        <f>IF(ISBLANK('By Round'!G49),"",'By Round'!G49)</f>
        <v/>
      </c>
      <c r="H95">
        <f>IF(ISBLANK('By Round'!H49),"",'By Round'!H49)</f>
        <v/>
      </c>
      <c r="I95">
        <f>IF(ISBLANK('By Round'!I49),"",'By Round'!I49)</f>
        <v/>
      </c>
      <c r="J95">
        <f>IF(ISBLANK('By Round'!J49),"",'By Round'!J49)</f>
        <v/>
      </c>
      <c r="K95">
        <f>IF(ISBLANK('By Round'!K49),"",'By Round'!K49)</f>
        <v/>
      </c>
      <c r="L95" s="12">
        <f>SUM(AF95:AK95)</f>
        <v/>
      </c>
      <c r="M95" s="13">
        <f>SUM(AL95:AQ95)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4">
        <f>SUM(T95:Y95)</f>
        <v/>
      </c>
      <c r="Q95" s="4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>
        <f>'By Round'!A59</f>
        <v/>
      </c>
      <c r="C96">
        <f>'By Round'!B61</f>
        <v/>
      </c>
      <c r="D96">
        <f>'By Round'!C61</f>
        <v/>
      </c>
      <c r="E96">
        <f>'By Round'!D61</f>
        <v/>
      </c>
      <c r="F96" s="11" t="inlineStr">
        <is>
          <t>None</t>
        </is>
      </c>
      <c r="G96">
        <f>IF(ISBLANK('By Round'!G61),"",'By Round'!G61)</f>
        <v/>
      </c>
      <c r="H96">
        <f>IF(ISBLANK('By Round'!H61),"",'By Round'!H61)</f>
        <v/>
      </c>
      <c r="I96">
        <f>IF(ISBLANK('By Round'!I61),"",'By Round'!I61)</f>
        <v/>
      </c>
      <c r="J96">
        <f>IF(ISBLANK('By Round'!J61),"",'By Round'!J61)</f>
        <v/>
      </c>
      <c r="K96">
        <f>IF(ISBLANK('By Round'!K61),"",'By Round'!K61)</f>
        <v/>
      </c>
      <c r="L96" s="12">
        <f>SUM(AF96:AK96)</f>
        <v/>
      </c>
      <c r="M96" s="13">
        <f>SUM(AL96:AQ96)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4">
        <f>SUM(T96:Y96)</f>
        <v/>
      </c>
      <c r="Q96" s="4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>
        <f>'By Round'!A87</f>
        <v/>
      </c>
      <c r="C97">
        <f>'By Round'!B87</f>
        <v/>
      </c>
      <c r="D97">
        <f>'By Round'!C87</f>
        <v/>
      </c>
      <c r="E97">
        <f>'By Round'!D87</f>
        <v/>
      </c>
      <c r="F97" s="11" t="inlineStr">
        <is>
          <t>None</t>
        </is>
      </c>
      <c r="G97">
        <f>IF(ISBLANK('By Round'!G87),"",'By Round'!G87)</f>
        <v/>
      </c>
      <c r="H97">
        <f>IF(ISBLANK('By Round'!H87),"",'By Round'!H87)</f>
        <v/>
      </c>
      <c r="I97">
        <f>IF(ISBLANK('By Round'!I87),"",'By Round'!I87)</f>
        <v/>
      </c>
      <c r="J97">
        <f>IF(ISBLANK('By Round'!J87),"",'By Round'!J87)</f>
        <v/>
      </c>
      <c r="K97">
        <f>IF(ISBLANK('By Round'!K87),"",'By Round'!K87)</f>
        <v/>
      </c>
      <c r="L97" s="12">
        <f>SUM(AF97:AK97)</f>
        <v/>
      </c>
      <c r="M97" s="13">
        <f>SUM(AL97:AQ97)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4">
        <f>SUM(T97:Y97)</f>
        <v/>
      </c>
      <c r="Q97" s="4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>
        <f>'By Round'!A115</f>
        <v/>
      </c>
      <c r="C98">
        <f>'By Round'!B127</f>
        <v/>
      </c>
      <c r="D98">
        <f>'By Round'!C127</f>
        <v/>
      </c>
      <c r="E98">
        <f>'By Round'!D127</f>
        <v/>
      </c>
      <c r="F98" s="11" t="inlineStr">
        <is>
          <t>None</t>
        </is>
      </c>
      <c r="G98">
        <f>IF(ISBLANK('By Round'!G127),"",'By Round'!G127)</f>
        <v/>
      </c>
      <c r="H98">
        <f>IF(ISBLANK('By Round'!H127),"",'By Round'!H127)</f>
        <v/>
      </c>
      <c r="I98">
        <f>IF(ISBLANK('By Round'!I127),"",'By Round'!I127)</f>
        <v/>
      </c>
      <c r="J98">
        <f>IF(ISBLANK('By Round'!J127),"",'By Round'!J127)</f>
        <v/>
      </c>
      <c r="K98">
        <f>IF(ISBLANK('By Round'!K127),"",'By Round'!K127)</f>
        <v/>
      </c>
      <c r="L98" s="12">
        <f>SUM(AF98:AK98)</f>
        <v/>
      </c>
      <c r="M98" s="13">
        <f>SUM(AL98:AQ98)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4">
        <f>SUM(T98:Y98)</f>
        <v/>
      </c>
      <c r="Q98" s="4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>
        <f>'By Round'!A129</f>
        <v/>
      </c>
      <c r="C99">
        <f>'By Round'!B139</f>
        <v/>
      </c>
      <c r="D99">
        <f>'By Round'!C139</f>
        <v/>
      </c>
      <c r="E99">
        <f>'By Round'!D139</f>
        <v/>
      </c>
      <c r="F99" s="11" t="inlineStr">
        <is>
          <t>None</t>
        </is>
      </c>
      <c r="G99">
        <f>IF(ISBLANK('By Round'!G139),"",'By Round'!G139)</f>
        <v/>
      </c>
      <c r="H99">
        <f>IF(ISBLANK('By Round'!H139),"",'By Round'!H139)</f>
        <v/>
      </c>
      <c r="I99">
        <f>IF(ISBLANK('By Round'!I139),"",'By Round'!I139)</f>
        <v/>
      </c>
      <c r="J99">
        <f>IF(ISBLANK('By Round'!J139),"",'By Round'!J139)</f>
        <v/>
      </c>
      <c r="K99">
        <f>IF(ISBLANK('By Round'!K139),"",'By Round'!K139)</f>
        <v/>
      </c>
      <c r="L99" s="12">
        <f>SUM(AF99:AK99)</f>
        <v/>
      </c>
      <c r="M99" s="13">
        <f>SUM(AL99:AQ99)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4">
        <f>SUM(T99:Y99)</f>
        <v/>
      </c>
      <c r="Q99" s="4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5">
        <f>'By Round'!A143</f>
        <v/>
      </c>
      <c r="C100" s="15">
        <f>'By Round'!B151</f>
        <v/>
      </c>
      <c r="D100" s="15">
        <f>'By Round'!C151</f>
        <v/>
      </c>
      <c r="E100" s="15">
        <f>'By Round'!D151</f>
        <v/>
      </c>
      <c r="F100" s="16" t="inlineStr">
        <is>
          <t>None</t>
        </is>
      </c>
      <c r="G100" s="15">
        <f>IF(ISBLANK('By Round'!G151),"",'By Round'!G151)</f>
        <v/>
      </c>
      <c r="H100" s="15">
        <f>IF(ISBLANK('By Round'!H151),"",'By Round'!H151)</f>
        <v/>
      </c>
      <c r="I100" s="15">
        <f>IF(ISBLANK('By Round'!I151),"",'By Round'!I151)</f>
        <v/>
      </c>
      <c r="J100" s="15">
        <f>IF(ISBLANK('By Round'!J151),"",'By Round'!J151)</f>
        <v/>
      </c>
      <c r="K100" s="15">
        <f>IF(ISBLANK('By Round'!K151),"",'By Round'!K151)</f>
        <v/>
      </c>
      <c r="L100" s="17">
        <f>SUM(AF100:AK100)</f>
        <v/>
      </c>
      <c r="M100" s="18">
        <f>SUM(AL100:AQ100)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t="n">
        <v>15</v>
      </c>
      <c r="B101">
        <f>'By Round'!A45</f>
        <v/>
      </c>
      <c r="C101">
        <f>'By Round'!B51</f>
        <v/>
      </c>
      <c r="D101">
        <f>'By Round'!C51</f>
        <v/>
      </c>
      <c r="E101">
        <f>'By Round'!D51</f>
        <v/>
      </c>
      <c r="F101" s="11" t="inlineStr">
        <is>
          <t>NS</t>
        </is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2">
        <f>SUM(AF101:AK101)</f>
        <v/>
      </c>
      <c r="M101" s="13">
        <f>SUM(AL101:AQ101)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4">
        <f>SUM(T101:Y101)</f>
        <v/>
      </c>
      <c r="Q101" s="4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>
        <f>'By Round'!A59</f>
        <v/>
      </c>
      <c r="C102">
        <f>'By Round'!B63</f>
        <v/>
      </c>
      <c r="D102">
        <f>'By Round'!C63</f>
        <v/>
      </c>
      <c r="E102">
        <f>'By Round'!D63</f>
        <v/>
      </c>
      <c r="F102" s="11" t="inlineStr">
        <is>
          <t>NS</t>
        </is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2">
        <f>SUM(AF102:AK102)</f>
        <v/>
      </c>
      <c r="M102" s="13">
        <f>SUM(AL102:AQ102)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4">
        <f>SUM(T102:Y102)</f>
        <v/>
      </c>
      <c r="Q102" s="4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>
        <f>'By Round'!A73</f>
        <v/>
      </c>
      <c r="C103">
        <f>'By Round'!B75</f>
        <v/>
      </c>
      <c r="D103">
        <f>'By Round'!C75</f>
        <v/>
      </c>
      <c r="E103">
        <f>'By Round'!D75</f>
        <v/>
      </c>
      <c r="F103" s="11" t="inlineStr">
        <is>
          <t>NS</t>
        </is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2">
        <f>SUM(AF103:AK103)</f>
        <v/>
      </c>
      <c r="M103" s="13">
        <f>SUM(AL103:AQ103)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4">
        <f>SUM(T103:Y103)</f>
        <v/>
      </c>
      <c r="Q103" s="4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>
        <f>'By Round'!A101</f>
        <v/>
      </c>
      <c r="C104">
        <f>'By Round'!B101</f>
        <v/>
      </c>
      <c r="D104">
        <f>'By Round'!C101</f>
        <v/>
      </c>
      <c r="E104">
        <f>'By Round'!D101</f>
        <v/>
      </c>
      <c r="F104" s="11" t="inlineStr">
        <is>
          <t>NS</t>
        </is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2">
        <f>SUM(AF104:AK104)</f>
        <v/>
      </c>
      <c r="M104" s="13">
        <f>SUM(AL104:AQ104)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4">
        <f>SUM(T104:Y104)</f>
        <v/>
      </c>
      <c r="Q104" s="4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>
        <f>'By Round'!A129</f>
        <v/>
      </c>
      <c r="C105">
        <f>'By Round'!B141</f>
        <v/>
      </c>
      <c r="D105">
        <f>'By Round'!C141</f>
        <v/>
      </c>
      <c r="E105">
        <f>'By Round'!D141</f>
        <v/>
      </c>
      <c r="F105" s="11" t="inlineStr">
        <is>
          <t>NS</t>
        </is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2">
        <f>SUM(AF105:AK105)</f>
        <v/>
      </c>
      <c r="M105" s="13">
        <f>SUM(AL105:AQ105)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4">
        <f>SUM(T105:Y105)</f>
        <v/>
      </c>
      <c r="Q105" s="4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>
        <f>'By Round'!A143</f>
        <v/>
      </c>
      <c r="C106">
        <f>'By Round'!B153</f>
        <v/>
      </c>
      <c r="D106">
        <f>'By Round'!C153</f>
        <v/>
      </c>
      <c r="E106">
        <f>'By Round'!D153</f>
        <v/>
      </c>
      <c r="F106" s="11" t="inlineStr">
        <is>
          <t>NS</t>
        </is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2">
        <f>SUM(AF106:AK106)</f>
        <v/>
      </c>
      <c r="M106" s="13">
        <f>SUM(AL106:AQ106)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4">
        <f>SUM(T106:Y106)</f>
        <v/>
      </c>
      <c r="Q106" s="4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5">
        <f>'By Round'!A157</f>
        <v/>
      </c>
      <c r="C107" s="15">
        <f>'By Round'!B165</f>
        <v/>
      </c>
      <c r="D107" s="15">
        <f>'By Round'!C165</f>
        <v/>
      </c>
      <c r="E107" s="15">
        <f>'By Round'!D165</f>
        <v/>
      </c>
      <c r="F107" s="16" t="inlineStr">
        <is>
          <t>NS</t>
        </is>
      </c>
      <c r="G107" s="15">
        <f>IF(ISBLANK('By Round'!G165),"",'By Round'!G165)</f>
        <v/>
      </c>
      <c r="H107" s="15">
        <f>IF(ISBLANK('By Round'!H165),"",'By Round'!H165)</f>
        <v/>
      </c>
      <c r="I107" s="15">
        <f>IF(ISBLANK('By Round'!I165),"",'By Round'!I165)</f>
        <v/>
      </c>
      <c r="J107" s="15">
        <f>IF(ISBLANK('By Round'!J165),"",'By Round'!J165)</f>
        <v/>
      </c>
      <c r="K107" s="15">
        <f>IF(ISBLANK('By Round'!K165),"",'By Round'!K165)</f>
        <v/>
      </c>
      <c r="L107" s="17">
        <f>SUM(AF107:AK107)</f>
        <v/>
      </c>
      <c r="M107" s="18">
        <f>SUM(AL107:AQ107)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t="n">
        <v>16</v>
      </c>
      <c r="B108">
        <f>'By Round'!A45</f>
        <v/>
      </c>
      <c r="C108">
        <f>'By Round'!B51</f>
        <v/>
      </c>
      <c r="D108">
        <f>'By Round'!C51</f>
        <v/>
      </c>
      <c r="E108">
        <f>'By Round'!D51</f>
        <v/>
      </c>
      <c r="F108" s="11" t="inlineStr">
        <is>
          <t>EW</t>
        </is>
      </c>
      <c r="G108">
        <f>IF(ISBLANK('By Round'!G51),"",'By Round'!G51)</f>
        <v/>
      </c>
      <c r="H108">
        <f>IF(ISBLANK('By Round'!H51),"",'By Round'!H51)</f>
        <v/>
      </c>
      <c r="I108">
        <f>IF(ISBLANK('By Round'!I51),"",'By Round'!I51)</f>
        <v/>
      </c>
      <c r="J108">
        <f>IF(ISBLANK('By Round'!J51),"",'By Round'!J51)</f>
        <v/>
      </c>
      <c r="K108">
        <f>IF(ISBLANK('By Round'!K51),"",'By Round'!K51)</f>
        <v/>
      </c>
      <c r="L108" s="12">
        <f>SUM(AF108:AK108)</f>
        <v/>
      </c>
      <c r="M108" s="13">
        <f>SUM(AL108:AQ108)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4">
        <f>SUM(T108:Y108)</f>
        <v/>
      </c>
      <c r="Q108" s="4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>
        <f>'By Round'!A59</f>
        <v/>
      </c>
      <c r="C109">
        <f>'By Round'!B63</f>
        <v/>
      </c>
      <c r="D109">
        <f>'By Round'!C63</f>
        <v/>
      </c>
      <c r="E109">
        <f>'By Round'!D63</f>
        <v/>
      </c>
      <c r="F109" s="11" t="inlineStr">
        <is>
          <t>EW</t>
        </is>
      </c>
      <c r="G109">
        <f>IF(ISBLANK('By Round'!G63),"",'By Round'!G63)</f>
        <v/>
      </c>
      <c r="H109">
        <f>IF(ISBLANK('By Round'!H63),"",'By Round'!H63)</f>
        <v/>
      </c>
      <c r="I109">
        <f>IF(ISBLANK('By Round'!I63),"",'By Round'!I63)</f>
        <v/>
      </c>
      <c r="J109">
        <f>IF(ISBLANK('By Round'!J63),"",'By Round'!J63)</f>
        <v/>
      </c>
      <c r="K109">
        <f>IF(ISBLANK('By Round'!K63),"",'By Round'!K63)</f>
        <v/>
      </c>
      <c r="L109" s="12">
        <f>SUM(AF109:AK109)</f>
        <v/>
      </c>
      <c r="M109" s="13">
        <f>SUM(AL109:AQ109)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4">
        <f>SUM(T109:Y109)</f>
        <v/>
      </c>
      <c r="Q109" s="4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>
        <f>'By Round'!A73</f>
        <v/>
      </c>
      <c r="C110">
        <f>'By Round'!B75</f>
        <v/>
      </c>
      <c r="D110">
        <f>'By Round'!C75</f>
        <v/>
      </c>
      <c r="E110">
        <f>'By Round'!D75</f>
        <v/>
      </c>
      <c r="F110" s="11" t="inlineStr">
        <is>
          <t>EW</t>
        </is>
      </c>
      <c r="G110">
        <f>IF(ISBLANK('By Round'!G75),"",'By Round'!G75)</f>
        <v/>
      </c>
      <c r="H110">
        <f>IF(ISBLANK('By Round'!H75),"",'By Round'!H75)</f>
        <v/>
      </c>
      <c r="I110">
        <f>IF(ISBLANK('By Round'!I75),"",'By Round'!I75)</f>
        <v/>
      </c>
      <c r="J110">
        <f>IF(ISBLANK('By Round'!J75),"",'By Round'!J75)</f>
        <v/>
      </c>
      <c r="K110">
        <f>IF(ISBLANK('By Round'!K75),"",'By Round'!K75)</f>
        <v/>
      </c>
      <c r="L110" s="12">
        <f>SUM(AF110:AK110)</f>
        <v/>
      </c>
      <c r="M110" s="13">
        <f>SUM(AL110:AQ110)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4">
        <f>SUM(T110:Y110)</f>
        <v/>
      </c>
      <c r="Q110" s="4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>
        <f>'By Round'!A101</f>
        <v/>
      </c>
      <c r="C111">
        <f>'By Round'!B101</f>
        <v/>
      </c>
      <c r="D111">
        <f>'By Round'!C101</f>
        <v/>
      </c>
      <c r="E111">
        <f>'By Round'!D101</f>
        <v/>
      </c>
      <c r="F111" s="11" t="inlineStr">
        <is>
          <t>EW</t>
        </is>
      </c>
      <c r="G111">
        <f>IF(ISBLANK('By Round'!G101),"",'By Round'!G101)</f>
        <v/>
      </c>
      <c r="H111">
        <f>IF(ISBLANK('By Round'!H101),"",'By Round'!H101)</f>
        <v/>
      </c>
      <c r="I111">
        <f>IF(ISBLANK('By Round'!I101),"",'By Round'!I101)</f>
        <v/>
      </c>
      <c r="J111">
        <f>IF(ISBLANK('By Round'!J101),"",'By Round'!J101)</f>
        <v/>
      </c>
      <c r="K111">
        <f>IF(ISBLANK('By Round'!K101),"",'By Round'!K101)</f>
        <v/>
      </c>
      <c r="L111" s="12">
        <f>SUM(AF111:AK111)</f>
        <v/>
      </c>
      <c r="M111" s="13">
        <f>SUM(AL111:AQ111)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4">
        <f>SUM(T111:Y111)</f>
        <v/>
      </c>
      <c r="Q111" s="4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>
        <f>'By Round'!A129</f>
        <v/>
      </c>
      <c r="C112">
        <f>'By Round'!B141</f>
        <v/>
      </c>
      <c r="D112">
        <f>'By Round'!C141</f>
        <v/>
      </c>
      <c r="E112">
        <f>'By Round'!D141</f>
        <v/>
      </c>
      <c r="F112" s="11" t="inlineStr">
        <is>
          <t>EW</t>
        </is>
      </c>
      <c r="G112">
        <f>IF(ISBLANK('By Round'!G141),"",'By Round'!G141)</f>
        <v/>
      </c>
      <c r="H112">
        <f>IF(ISBLANK('By Round'!H141),"",'By Round'!H141)</f>
        <v/>
      </c>
      <c r="I112">
        <f>IF(ISBLANK('By Round'!I141),"",'By Round'!I141)</f>
        <v/>
      </c>
      <c r="J112">
        <f>IF(ISBLANK('By Round'!J141),"",'By Round'!J141)</f>
        <v/>
      </c>
      <c r="K112">
        <f>IF(ISBLANK('By Round'!K141),"",'By Round'!K141)</f>
        <v/>
      </c>
      <c r="L112" s="12">
        <f>SUM(AF112:AK112)</f>
        <v/>
      </c>
      <c r="M112" s="13">
        <f>SUM(AL112:AQ112)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4">
        <f>SUM(T112:Y112)</f>
        <v/>
      </c>
      <c r="Q112" s="4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>
        <f>'By Round'!A143</f>
        <v/>
      </c>
      <c r="C113">
        <f>'By Round'!B153</f>
        <v/>
      </c>
      <c r="D113">
        <f>'By Round'!C153</f>
        <v/>
      </c>
      <c r="E113">
        <f>'By Round'!D153</f>
        <v/>
      </c>
      <c r="F113" s="11" t="inlineStr">
        <is>
          <t>EW</t>
        </is>
      </c>
      <c r="G113">
        <f>IF(ISBLANK('By Round'!G153),"",'By Round'!G153)</f>
        <v/>
      </c>
      <c r="H113">
        <f>IF(ISBLANK('By Round'!H153),"",'By Round'!H153)</f>
        <v/>
      </c>
      <c r="I113">
        <f>IF(ISBLANK('By Round'!I153),"",'By Round'!I153)</f>
        <v/>
      </c>
      <c r="J113">
        <f>IF(ISBLANK('By Round'!J153),"",'By Round'!J153)</f>
        <v/>
      </c>
      <c r="K113">
        <f>IF(ISBLANK('By Round'!K153),"",'By Round'!K153)</f>
        <v/>
      </c>
      <c r="L113" s="12">
        <f>SUM(AF113:AK113)</f>
        <v/>
      </c>
      <c r="M113" s="13">
        <f>SUM(AL113:AQ113)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4">
        <f>SUM(T113:Y113)</f>
        <v/>
      </c>
      <c r="Q113" s="4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5">
        <f>'By Round'!A157</f>
        <v/>
      </c>
      <c r="C114" s="15">
        <f>'By Round'!B165</f>
        <v/>
      </c>
      <c r="D114" s="15">
        <f>'By Round'!C165</f>
        <v/>
      </c>
      <c r="E114" s="15">
        <f>'By Round'!D165</f>
        <v/>
      </c>
      <c r="F114" s="16" t="inlineStr">
        <is>
          <t>EW</t>
        </is>
      </c>
      <c r="G114" s="15">
        <f>IF(ISBLANK('By Round'!G165),"",'By Round'!G165)</f>
        <v/>
      </c>
      <c r="H114" s="15">
        <f>IF(ISBLANK('By Round'!H165),"",'By Round'!H165)</f>
        <v/>
      </c>
      <c r="I114" s="15">
        <f>IF(ISBLANK('By Round'!I165),"",'By Round'!I165)</f>
        <v/>
      </c>
      <c r="J114" s="15">
        <f>IF(ISBLANK('By Round'!J165),"",'By Round'!J165)</f>
        <v/>
      </c>
      <c r="K114" s="15">
        <f>IF(ISBLANK('By Round'!K165),"",'By Round'!K165)</f>
        <v/>
      </c>
      <c r="L114" s="17">
        <f>SUM(AF114:AK114)</f>
        <v/>
      </c>
      <c r="M114" s="18">
        <f>SUM(AL114:AQ114)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t="n">
        <v>17</v>
      </c>
      <c r="B115">
        <f>'By Round'!A59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None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SUM(AF115:AK115)</f>
        <v/>
      </c>
      <c r="M115" s="13">
        <f>SUM(AL115:AQ115)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4">
        <f>SUM(T115:Y115)</f>
        <v/>
      </c>
      <c r="Q115" s="4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>
        <f>'By Round'!A73</f>
        <v/>
      </c>
      <c r="C116">
        <f>'By Round'!B77</f>
        <v/>
      </c>
      <c r="D116">
        <f>'By Round'!C77</f>
        <v/>
      </c>
      <c r="E116">
        <f>'By Round'!D77</f>
        <v/>
      </c>
      <c r="F116" s="11" t="inlineStr">
        <is>
          <t>None</t>
        </is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2">
        <f>SUM(AF116:AK116)</f>
        <v/>
      </c>
      <c r="M116" s="13">
        <f>SUM(AL116:AQ116)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4">
        <f>SUM(T116:Y116)</f>
        <v/>
      </c>
      <c r="Q116" s="4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>
        <f>'By Round'!A87</f>
        <v/>
      </c>
      <c r="C117">
        <f>'By Round'!B89</f>
        <v/>
      </c>
      <c r="D117">
        <f>'By Round'!C89</f>
        <v/>
      </c>
      <c r="E117">
        <f>'By Round'!D89</f>
        <v/>
      </c>
      <c r="F117" s="11" t="inlineStr">
        <is>
          <t>None</t>
        </is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2">
        <f>SUM(AF117:AK117)</f>
        <v/>
      </c>
      <c r="M117" s="13">
        <f>SUM(AL117:AQ117)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4">
        <f>SUM(T117:Y117)</f>
        <v/>
      </c>
      <c r="Q117" s="4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>
        <f>'By Round'!A115</f>
        <v/>
      </c>
      <c r="C118">
        <f>'By Round'!B115</f>
        <v/>
      </c>
      <c r="D118">
        <f>'By Round'!C115</f>
        <v/>
      </c>
      <c r="E118">
        <f>'By Round'!D115</f>
        <v/>
      </c>
      <c r="F118" s="11" t="inlineStr">
        <is>
          <t>None</t>
        </is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2">
        <f>SUM(AF118:AK118)</f>
        <v/>
      </c>
      <c r="M118" s="13">
        <f>SUM(AL118:AQ118)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4">
        <f>SUM(T118:Y118)</f>
        <v/>
      </c>
      <c r="Q118" s="4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>
        <f>'By Round'!A143</f>
        <v/>
      </c>
      <c r="C119">
        <f>'By Round'!B155</f>
        <v/>
      </c>
      <c r="D119">
        <f>'By Round'!C155</f>
        <v/>
      </c>
      <c r="E119">
        <f>'By Round'!D155</f>
        <v/>
      </c>
      <c r="F119" s="11" t="inlineStr">
        <is>
          <t>None</t>
        </is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2">
        <f>SUM(AF119:AK119)</f>
        <v/>
      </c>
      <c r="M119" s="13">
        <f>SUM(AL119:AQ119)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4">
        <f>SUM(T119:Y119)</f>
        <v/>
      </c>
      <c r="Q119" s="4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>
        <f>'By Round'!A157</f>
        <v/>
      </c>
      <c r="C120">
        <f>'By Round'!B167</f>
        <v/>
      </c>
      <c r="D120">
        <f>'By Round'!C167</f>
        <v/>
      </c>
      <c r="E120">
        <f>'By Round'!D167</f>
        <v/>
      </c>
      <c r="F120" s="11" t="inlineStr">
        <is>
          <t>None</t>
        </is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2">
        <f>SUM(AF120:AK120)</f>
        <v/>
      </c>
      <c r="M120" s="13">
        <f>SUM(AL120:AQ120)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4">
        <f>SUM(T120:Y120)</f>
        <v/>
      </c>
      <c r="Q120" s="4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5">
        <f>'By Round'!A171</f>
        <v/>
      </c>
      <c r="C121" s="15">
        <f>'By Round'!B179</f>
        <v/>
      </c>
      <c r="D121" s="15">
        <f>'By Round'!C179</f>
        <v/>
      </c>
      <c r="E121" s="15">
        <f>'By Round'!D179</f>
        <v/>
      </c>
      <c r="F121" s="16" t="inlineStr">
        <is>
          <t>None</t>
        </is>
      </c>
      <c r="G121" s="15">
        <f>IF(ISBLANK('By Round'!G179),"",'By Round'!G179)</f>
        <v/>
      </c>
      <c r="H121" s="15">
        <f>IF(ISBLANK('By Round'!H179),"",'By Round'!H179)</f>
        <v/>
      </c>
      <c r="I121" s="15">
        <f>IF(ISBLANK('By Round'!I179),"",'By Round'!I179)</f>
        <v/>
      </c>
      <c r="J121" s="15">
        <f>IF(ISBLANK('By Round'!J179),"",'By Round'!J179)</f>
        <v/>
      </c>
      <c r="K121" s="15">
        <f>IF(ISBLANK('By Round'!K179),"",'By Round'!K179)</f>
        <v/>
      </c>
      <c r="L121" s="17">
        <f>SUM(AF121:AK121)</f>
        <v/>
      </c>
      <c r="M121" s="18">
        <f>SUM(AL121:AQ121)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t="n">
        <v>18</v>
      </c>
      <c r="B122">
        <f>'By Round'!A59</f>
        <v/>
      </c>
      <c r="C122">
        <f>'By Round'!B65</f>
        <v/>
      </c>
      <c r="D122">
        <f>'By Round'!C65</f>
        <v/>
      </c>
      <c r="E122">
        <f>'By Round'!D65</f>
        <v/>
      </c>
      <c r="F122" s="11" t="inlineStr">
        <is>
          <t>NS</t>
        </is>
      </c>
      <c r="G122">
        <f>IF(ISBLANK('By Round'!G65),"",'By Round'!G65)</f>
        <v/>
      </c>
      <c r="H122">
        <f>IF(ISBLANK('By Round'!H65),"",'By Round'!H65)</f>
        <v/>
      </c>
      <c r="I122">
        <f>IF(ISBLANK('By Round'!I65),"",'By Round'!I65)</f>
        <v/>
      </c>
      <c r="J122">
        <f>IF(ISBLANK('By Round'!J65),"",'By Round'!J65)</f>
        <v/>
      </c>
      <c r="K122">
        <f>IF(ISBLANK('By Round'!K65),"",'By Round'!K65)</f>
        <v/>
      </c>
      <c r="L122" s="12">
        <f>SUM(AF122:AK122)</f>
        <v/>
      </c>
      <c r="M122" s="13">
        <f>SUM(AL122:AQ122)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4">
        <f>SUM(T122:Y122)</f>
        <v/>
      </c>
      <c r="Q122" s="4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>
        <f>'By Round'!A73</f>
        <v/>
      </c>
      <c r="C123">
        <f>'By Round'!B77</f>
        <v/>
      </c>
      <c r="D123">
        <f>'By Round'!C77</f>
        <v/>
      </c>
      <c r="E123">
        <f>'By Round'!D77</f>
        <v/>
      </c>
      <c r="F123" s="11" t="inlineStr">
        <is>
          <t>NS</t>
        </is>
      </c>
      <c r="G123">
        <f>IF(ISBLANK('By Round'!G77),"",'By Round'!G77)</f>
        <v/>
      </c>
      <c r="H123">
        <f>IF(ISBLANK('By Round'!H77),"",'By Round'!H77)</f>
        <v/>
      </c>
      <c r="I123">
        <f>IF(ISBLANK('By Round'!I77),"",'By Round'!I77)</f>
        <v/>
      </c>
      <c r="J123">
        <f>IF(ISBLANK('By Round'!J77),"",'By Round'!J77)</f>
        <v/>
      </c>
      <c r="K123">
        <f>IF(ISBLANK('By Round'!K77),"",'By Round'!K77)</f>
        <v/>
      </c>
      <c r="L123" s="12">
        <f>SUM(AF123:AK123)</f>
        <v/>
      </c>
      <c r="M123" s="13">
        <f>SUM(AL123:AQ123)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4">
        <f>SUM(T123:Y123)</f>
        <v/>
      </c>
      <c r="Q123" s="4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>
        <f>'By Round'!A87</f>
        <v/>
      </c>
      <c r="C124">
        <f>'By Round'!B89</f>
        <v/>
      </c>
      <c r="D124">
        <f>'By Round'!C89</f>
        <v/>
      </c>
      <c r="E124">
        <f>'By Round'!D89</f>
        <v/>
      </c>
      <c r="F124" s="11" t="inlineStr">
        <is>
          <t>NS</t>
        </is>
      </c>
      <c r="G124">
        <f>IF(ISBLANK('By Round'!G89),"",'By Round'!G89)</f>
        <v/>
      </c>
      <c r="H124">
        <f>IF(ISBLANK('By Round'!H89),"",'By Round'!H89)</f>
        <v/>
      </c>
      <c r="I124">
        <f>IF(ISBLANK('By Round'!I89),"",'By Round'!I89)</f>
        <v/>
      </c>
      <c r="J124">
        <f>IF(ISBLANK('By Round'!J89),"",'By Round'!J89)</f>
        <v/>
      </c>
      <c r="K124">
        <f>IF(ISBLANK('By Round'!K89),"",'By Round'!K89)</f>
        <v/>
      </c>
      <c r="L124" s="12">
        <f>SUM(AF124:AK124)</f>
        <v/>
      </c>
      <c r="M124" s="13">
        <f>SUM(AL124:AQ124)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4">
        <f>SUM(T124:Y124)</f>
        <v/>
      </c>
      <c r="Q124" s="4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>
        <f>'By Round'!A115</f>
        <v/>
      </c>
      <c r="C125">
        <f>'By Round'!B115</f>
        <v/>
      </c>
      <c r="D125">
        <f>'By Round'!C115</f>
        <v/>
      </c>
      <c r="E125">
        <f>'By Round'!D115</f>
        <v/>
      </c>
      <c r="F125" s="11" t="inlineStr">
        <is>
          <t>NS</t>
        </is>
      </c>
      <c r="G125">
        <f>IF(ISBLANK('By Round'!G115),"",'By Round'!G115)</f>
        <v/>
      </c>
      <c r="H125">
        <f>IF(ISBLANK('By Round'!H115),"",'By Round'!H115)</f>
        <v/>
      </c>
      <c r="I125">
        <f>IF(ISBLANK('By Round'!I115),"",'By Round'!I115)</f>
        <v/>
      </c>
      <c r="J125">
        <f>IF(ISBLANK('By Round'!J115),"",'By Round'!J115)</f>
        <v/>
      </c>
      <c r="K125">
        <f>IF(ISBLANK('By Round'!K115),"",'By Round'!K115)</f>
        <v/>
      </c>
      <c r="L125" s="12">
        <f>SUM(AF125:AK125)</f>
        <v/>
      </c>
      <c r="M125" s="13">
        <f>SUM(AL125:AQ125)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4">
        <f>SUM(T125:Y125)</f>
        <v/>
      </c>
      <c r="Q125" s="4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>
        <f>'By Round'!A143</f>
        <v/>
      </c>
      <c r="C126">
        <f>'By Round'!B155</f>
        <v/>
      </c>
      <c r="D126">
        <f>'By Round'!C155</f>
        <v/>
      </c>
      <c r="E126">
        <f>'By Round'!D155</f>
        <v/>
      </c>
      <c r="F126" s="11" t="inlineStr">
        <is>
          <t>NS</t>
        </is>
      </c>
      <c r="G126">
        <f>IF(ISBLANK('By Round'!G155),"",'By Round'!G155)</f>
        <v/>
      </c>
      <c r="H126">
        <f>IF(ISBLANK('By Round'!H155),"",'By Round'!H155)</f>
        <v/>
      </c>
      <c r="I126">
        <f>IF(ISBLANK('By Round'!I155),"",'By Round'!I155)</f>
        <v/>
      </c>
      <c r="J126">
        <f>IF(ISBLANK('By Round'!J155),"",'By Round'!J155)</f>
        <v/>
      </c>
      <c r="K126">
        <f>IF(ISBLANK('By Round'!K155),"",'By Round'!K155)</f>
        <v/>
      </c>
      <c r="L126" s="12">
        <f>SUM(AF126:AK126)</f>
        <v/>
      </c>
      <c r="M126" s="13">
        <f>SUM(AL126:AQ126)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4">
        <f>SUM(T126:Y126)</f>
        <v/>
      </c>
      <c r="Q126" s="4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>
        <f>'By Round'!A157</f>
        <v/>
      </c>
      <c r="C127">
        <f>'By Round'!B167</f>
        <v/>
      </c>
      <c r="D127">
        <f>'By Round'!C167</f>
        <v/>
      </c>
      <c r="E127">
        <f>'By Round'!D167</f>
        <v/>
      </c>
      <c r="F127" s="11" t="inlineStr">
        <is>
          <t>NS</t>
        </is>
      </c>
      <c r="G127">
        <f>IF(ISBLANK('By Round'!G167),"",'By Round'!G167)</f>
        <v/>
      </c>
      <c r="H127">
        <f>IF(ISBLANK('By Round'!H167),"",'By Round'!H167)</f>
        <v/>
      </c>
      <c r="I127">
        <f>IF(ISBLANK('By Round'!I167),"",'By Round'!I167)</f>
        <v/>
      </c>
      <c r="J127">
        <f>IF(ISBLANK('By Round'!J167),"",'By Round'!J167)</f>
        <v/>
      </c>
      <c r="K127">
        <f>IF(ISBLANK('By Round'!K167),"",'By Round'!K167)</f>
        <v/>
      </c>
      <c r="L127" s="12">
        <f>SUM(AF127:AK127)</f>
        <v/>
      </c>
      <c r="M127" s="13">
        <f>SUM(AL127:AQ127)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4">
        <f>SUM(T127:Y127)</f>
        <v/>
      </c>
      <c r="Q127" s="4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5">
        <f>'By Round'!A171</f>
        <v/>
      </c>
      <c r="C128" s="15">
        <f>'By Round'!B179</f>
        <v/>
      </c>
      <c r="D128" s="15">
        <f>'By Round'!C179</f>
        <v/>
      </c>
      <c r="E128" s="15">
        <f>'By Round'!D179</f>
        <v/>
      </c>
      <c r="F128" s="16" t="inlineStr">
        <is>
          <t>NS</t>
        </is>
      </c>
      <c r="G128" s="15">
        <f>IF(ISBLANK('By Round'!G179),"",'By Round'!G179)</f>
        <v/>
      </c>
      <c r="H128" s="15">
        <f>IF(ISBLANK('By Round'!H179),"",'By Round'!H179)</f>
        <v/>
      </c>
      <c r="I128" s="15">
        <f>IF(ISBLANK('By Round'!I179),"",'By Round'!I179)</f>
        <v/>
      </c>
      <c r="J128" s="15">
        <f>IF(ISBLANK('By Round'!J179),"",'By Round'!J179)</f>
        <v/>
      </c>
      <c r="K128" s="15">
        <f>IF(ISBLANK('By Round'!K179),"",'By Round'!K179)</f>
        <v/>
      </c>
      <c r="L128" s="17">
        <f>SUM(AF128:AK128)</f>
        <v/>
      </c>
      <c r="M128" s="18">
        <f>SUM(AL128:AQ128)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t="n">
        <v>19</v>
      </c>
      <c r="B129">
        <f>'By Round'!A3</f>
        <v/>
      </c>
      <c r="C129">
        <f>'By Round'!B11</f>
        <v/>
      </c>
      <c r="D129">
        <f>'By Round'!C11</f>
        <v/>
      </c>
      <c r="E129">
        <f>'By Round'!D11</f>
        <v/>
      </c>
      <c r="F129" s="11" t="inlineStr">
        <is>
          <t>EW</t>
        </is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2">
        <f>SUM(AF129:AK129)</f>
        <v/>
      </c>
      <c r="M129" s="13">
        <f>SUM(AL129:AQ129)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4">
        <f>SUM(T129:Y129)</f>
        <v/>
      </c>
      <c r="Q129" s="4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>
        <f>'By Round'!A73</f>
        <v/>
      </c>
      <c r="C130">
        <f>'By Round'!B79</f>
        <v/>
      </c>
      <c r="D130">
        <f>'By Round'!C79</f>
        <v/>
      </c>
      <c r="E130">
        <f>'By Round'!D79</f>
        <v/>
      </c>
      <c r="F130" s="11" t="inlineStr">
        <is>
          <t>EW</t>
        </is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SUM(AF130:AK130)</f>
        <v/>
      </c>
      <c r="M130" s="13">
        <f>SUM(AL130:AQ130)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4">
        <f>SUM(T130:Y130)</f>
        <v/>
      </c>
      <c r="Q130" s="4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>
        <f>'By Round'!A87</f>
        <v/>
      </c>
      <c r="C131">
        <f>'By Round'!B91</f>
        <v/>
      </c>
      <c r="D131">
        <f>'By Round'!C91</f>
        <v/>
      </c>
      <c r="E131">
        <f>'By Round'!D91</f>
        <v/>
      </c>
      <c r="F131" s="11" t="inlineStr">
        <is>
          <t>EW</t>
        </is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2">
        <f>SUM(AF131:AK131)</f>
        <v/>
      </c>
      <c r="M131" s="13">
        <f>SUM(AL131:AQ131)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4">
        <f>SUM(T131:Y131)</f>
        <v/>
      </c>
      <c r="Q131" s="4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>
        <f>'By Round'!A101</f>
        <v/>
      </c>
      <c r="C132">
        <f>'By Round'!B103</f>
        <v/>
      </c>
      <c r="D132">
        <f>'By Round'!C103</f>
        <v/>
      </c>
      <c r="E132">
        <f>'By Round'!D103</f>
        <v/>
      </c>
      <c r="F132" s="11" t="inlineStr">
        <is>
          <t>EW</t>
        </is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2">
        <f>SUM(AF132:AK132)</f>
        <v/>
      </c>
      <c r="M132" s="13">
        <f>SUM(AL132:AQ132)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4">
        <f>SUM(T132:Y132)</f>
        <v/>
      </c>
      <c r="Q132" s="4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>
        <f>'By Round'!A129</f>
        <v/>
      </c>
      <c r="C133">
        <f>'By Round'!B129</f>
        <v/>
      </c>
      <c r="D133">
        <f>'By Round'!C129</f>
        <v/>
      </c>
      <c r="E133">
        <f>'By Round'!D129</f>
        <v/>
      </c>
      <c r="F133" s="11" t="inlineStr">
        <is>
          <t>EW</t>
        </is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2">
        <f>SUM(AF133:AK133)</f>
        <v/>
      </c>
      <c r="M133" s="13">
        <f>SUM(AL133:AQ133)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4">
        <f>SUM(T133:Y133)</f>
        <v/>
      </c>
      <c r="Q133" s="4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>
        <f>'By Round'!A157</f>
        <v/>
      </c>
      <c r="C134">
        <f>'By Round'!B169</f>
        <v/>
      </c>
      <c r="D134">
        <f>'By Round'!C169</f>
        <v/>
      </c>
      <c r="E134">
        <f>'By Round'!D169</f>
        <v/>
      </c>
      <c r="F134" s="11" t="inlineStr">
        <is>
          <t>EW</t>
        </is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2">
        <f>SUM(AF134:AK134)</f>
        <v/>
      </c>
      <c r="M134" s="13">
        <f>SUM(AL134:AQ134)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4">
        <f>SUM(T134:Y134)</f>
        <v/>
      </c>
      <c r="Q134" s="4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5">
        <f>'By Round'!A171</f>
        <v/>
      </c>
      <c r="C135" s="15">
        <f>'By Round'!B181</f>
        <v/>
      </c>
      <c r="D135" s="15">
        <f>'By Round'!C181</f>
        <v/>
      </c>
      <c r="E135" s="15">
        <f>'By Round'!D181</f>
        <v/>
      </c>
      <c r="F135" s="16" t="inlineStr">
        <is>
          <t>EW</t>
        </is>
      </c>
      <c r="G135" s="15">
        <f>IF(ISBLANK('By Round'!G181),"",'By Round'!G181)</f>
        <v/>
      </c>
      <c r="H135" s="15">
        <f>IF(ISBLANK('By Round'!H181),"",'By Round'!H181)</f>
        <v/>
      </c>
      <c r="I135" s="15">
        <f>IF(ISBLANK('By Round'!I181),"",'By Round'!I181)</f>
        <v/>
      </c>
      <c r="J135" s="15">
        <f>IF(ISBLANK('By Round'!J181),"",'By Round'!J181)</f>
        <v/>
      </c>
      <c r="K135" s="15">
        <f>IF(ISBLANK('By Round'!K181),"",'By Round'!K181)</f>
        <v/>
      </c>
      <c r="L135" s="17">
        <f>SUM(AF135:AK135)</f>
        <v/>
      </c>
      <c r="M135" s="18">
        <f>SUM(AL135:AQ135)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t="n">
        <v>20</v>
      </c>
      <c r="B136">
        <f>'By Round'!A3</f>
        <v/>
      </c>
      <c r="C136">
        <f>'By Round'!B11</f>
        <v/>
      </c>
      <c r="D136">
        <f>'By Round'!C11</f>
        <v/>
      </c>
      <c r="E136">
        <f>'By Round'!D11</f>
        <v/>
      </c>
      <c r="F136" s="11" t="inlineStr">
        <is>
          <t>Both</t>
        </is>
      </c>
      <c r="G136">
        <f>IF(ISBLANK('By Round'!G11),"",'By Round'!G11)</f>
        <v/>
      </c>
      <c r="H136">
        <f>IF(ISBLANK('By Round'!H11),"",'By Round'!H11)</f>
        <v/>
      </c>
      <c r="I136">
        <f>IF(ISBLANK('By Round'!I11),"",'By Round'!I11)</f>
        <v/>
      </c>
      <c r="J136">
        <f>IF(ISBLANK('By Round'!J11),"",'By Round'!J11)</f>
        <v/>
      </c>
      <c r="K136">
        <f>IF(ISBLANK('By Round'!K11),"",'By Round'!K11)</f>
        <v/>
      </c>
      <c r="L136" s="12">
        <f>SUM(AF136:AK136)</f>
        <v/>
      </c>
      <c r="M136" s="13">
        <f>SUM(AL136:AQ136)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4">
        <f>SUM(T136:Y136)</f>
        <v/>
      </c>
      <c r="Q136" s="4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>
        <f>'By Round'!A73</f>
        <v/>
      </c>
      <c r="C137">
        <f>'By Round'!B79</f>
        <v/>
      </c>
      <c r="D137">
        <f>'By Round'!C79</f>
        <v/>
      </c>
      <c r="E137">
        <f>'By Round'!D79</f>
        <v/>
      </c>
      <c r="F137" s="11" t="inlineStr">
        <is>
          <t>Both</t>
        </is>
      </c>
      <c r="G137">
        <f>IF(ISBLANK('By Round'!G79),"",'By Round'!G79)</f>
        <v/>
      </c>
      <c r="H137">
        <f>IF(ISBLANK('By Round'!H79),"",'By Round'!H79)</f>
        <v/>
      </c>
      <c r="I137">
        <f>IF(ISBLANK('By Round'!I79),"",'By Round'!I79)</f>
        <v/>
      </c>
      <c r="J137">
        <f>IF(ISBLANK('By Round'!J79),"",'By Round'!J79)</f>
        <v/>
      </c>
      <c r="K137">
        <f>IF(ISBLANK('By Round'!K79),"",'By Round'!K79)</f>
        <v/>
      </c>
      <c r="L137" s="12">
        <f>SUM(AF137:AK137)</f>
        <v/>
      </c>
      <c r="M137" s="13">
        <f>SUM(AL137:AQ137)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4">
        <f>SUM(T137:Y137)</f>
        <v/>
      </c>
      <c r="Q137" s="4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>
        <f>'By Round'!A87</f>
        <v/>
      </c>
      <c r="C138">
        <f>'By Round'!B91</f>
        <v/>
      </c>
      <c r="D138">
        <f>'By Round'!C91</f>
        <v/>
      </c>
      <c r="E138">
        <f>'By Round'!D91</f>
        <v/>
      </c>
      <c r="F138" s="11" t="inlineStr">
        <is>
          <t>Both</t>
        </is>
      </c>
      <c r="G138">
        <f>IF(ISBLANK('By Round'!G91),"",'By Round'!G91)</f>
        <v/>
      </c>
      <c r="H138">
        <f>IF(ISBLANK('By Round'!H91),"",'By Round'!H91)</f>
        <v/>
      </c>
      <c r="I138">
        <f>IF(ISBLANK('By Round'!I91),"",'By Round'!I91)</f>
        <v/>
      </c>
      <c r="J138">
        <f>IF(ISBLANK('By Round'!J91),"",'By Round'!J91)</f>
        <v/>
      </c>
      <c r="K138">
        <f>IF(ISBLANK('By Round'!K91),"",'By Round'!K91)</f>
        <v/>
      </c>
      <c r="L138" s="12">
        <f>SUM(AF138:AK138)</f>
        <v/>
      </c>
      <c r="M138" s="13">
        <f>SUM(AL138:AQ138)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4">
        <f>SUM(T138:Y138)</f>
        <v/>
      </c>
      <c r="Q138" s="4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>
        <f>'By Round'!A101</f>
        <v/>
      </c>
      <c r="C139">
        <f>'By Round'!B103</f>
        <v/>
      </c>
      <c r="D139">
        <f>'By Round'!C103</f>
        <v/>
      </c>
      <c r="E139">
        <f>'By Round'!D103</f>
        <v/>
      </c>
      <c r="F139" s="11" t="inlineStr">
        <is>
          <t>Both</t>
        </is>
      </c>
      <c r="G139">
        <f>IF(ISBLANK('By Round'!G103),"",'By Round'!G103)</f>
        <v/>
      </c>
      <c r="H139">
        <f>IF(ISBLANK('By Round'!H103),"",'By Round'!H103)</f>
        <v/>
      </c>
      <c r="I139">
        <f>IF(ISBLANK('By Round'!I103),"",'By Round'!I103)</f>
        <v/>
      </c>
      <c r="J139">
        <f>IF(ISBLANK('By Round'!J103),"",'By Round'!J103)</f>
        <v/>
      </c>
      <c r="K139">
        <f>IF(ISBLANK('By Round'!K103),"",'By Round'!K103)</f>
        <v/>
      </c>
      <c r="L139" s="12">
        <f>SUM(AF139:AK139)</f>
        <v/>
      </c>
      <c r="M139" s="13">
        <f>SUM(AL139:AQ139)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4">
        <f>SUM(T139:Y139)</f>
        <v/>
      </c>
      <c r="Q139" s="4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>
        <f>'By Round'!A129</f>
        <v/>
      </c>
      <c r="C140">
        <f>'By Round'!B129</f>
        <v/>
      </c>
      <c r="D140">
        <f>'By Round'!C129</f>
        <v/>
      </c>
      <c r="E140">
        <f>'By Round'!D129</f>
        <v/>
      </c>
      <c r="F140" s="11" t="inlineStr">
        <is>
          <t>Both</t>
        </is>
      </c>
      <c r="G140">
        <f>IF(ISBLANK('By Round'!G129),"",'By Round'!G129)</f>
        <v/>
      </c>
      <c r="H140">
        <f>IF(ISBLANK('By Round'!H129),"",'By Round'!H129)</f>
        <v/>
      </c>
      <c r="I140">
        <f>IF(ISBLANK('By Round'!I129),"",'By Round'!I129)</f>
        <v/>
      </c>
      <c r="J140">
        <f>IF(ISBLANK('By Round'!J129),"",'By Round'!J129)</f>
        <v/>
      </c>
      <c r="K140">
        <f>IF(ISBLANK('By Round'!K129),"",'By Round'!K129)</f>
        <v/>
      </c>
      <c r="L140" s="12">
        <f>SUM(AF140:AK140)</f>
        <v/>
      </c>
      <c r="M140" s="13">
        <f>SUM(AL140:AQ140)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4">
        <f>SUM(T140:Y140)</f>
        <v/>
      </c>
      <c r="Q140" s="4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>
        <f>'By Round'!A157</f>
        <v/>
      </c>
      <c r="C141">
        <f>'By Round'!B169</f>
        <v/>
      </c>
      <c r="D141">
        <f>'By Round'!C169</f>
        <v/>
      </c>
      <c r="E141">
        <f>'By Round'!D169</f>
        <v/>
      </c>
      <c r="F141" s="11" t="inlineStr">
        <is>
          <t>Both</t>
        </is>
      </c>
      <c r="G141">
        <f>IF(ISBLANK('By Round'!G169),"",'By Round'!G169)</f>
        <v/>
      </c>
      <c r="H141">
        <f>IF(ISBLANK('By Round'!H169),"",'By Round'!H169)</f>
        <v/>
      </c>
      <c r="I141">
        <f>IF(ISBLANK('By Round'!I169),"",'By Round'!I169)</f>
        <v/>
      </c>
      <c r="J141">
        <f>IF(ISBLANK('By Round'!J169),"",'By Round'!J169)</f>
        <v/>
      </c>
      <c r="K141">
        <f>IF(ISBLANK('By Round'!K169),"",'By Round'!K169)</f>
        <v/>
      </c>
      <c r="L141" s="12">
        <f>SUM(AF141:AK141)</f>
        <v/>
      </c>
      <c r="M141" s="13">
        <f>SUM(AL141:AQ141)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4">
        <f>SUM(T141:Y141)</f>
        <v/>
      </c>
      <c r="Q141" s="4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5">
        <f>'By Round'!A171</f>
        <v/>
      </c>
      <c r="C142" s="15">
        <f>'By Round'!B181</f>
        <v/>
      </c>
      <c r="D142" s="15">
        <f>'By Round'!C181</f>
        <v/>
      </c>
      <c r="E142" s="15">
        <f>'By Round'!D181</f>
        <v/>
      </c>
      <c r="F142" s="16" t="inlineStr">
        <is>
          <t>Both</t>
        </is>
      </c>
      <c r="G142" s="15">
        <f>IF(ISBLANK('By Round'!G181),"",'By Round'!G181)</f>
        <v/>
      </c>
      <c r="H142" s="15">
        <f>IF(ISBLANK('By Round'!H181),"",'By Round'!H181)</f>
        <v/>
      </c>
      <c r="I142" s="15">
        <f>IF(ISBLANK('By Round'!I181),"",'By Round'!I181)</f>
        <v/>
      </c>
      <c r="J142" s="15">
        <f>IF(ISBLANK('By Round'!J181),"",'By Round'!J181)</f>
        <v/>
      </c>
      <c r="K142" s="15">
        <f>IF(ISBLANK('By Round'!K181),"",'By Round'!K181)</f>
        <v/>
      </c>
      <c r="L142" s="17">
        <f>SUM(AF142:AK142)</f>
        <v/>
      </c>
      <c r="M142" s="18">
        <f>SUM(AL142:AQ142)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t="n">
        <v>21</v>
      </c>
      <c r="B143">
        <f>'By Round'!A3</f>
        <v/>
      </c>
      <c r="C143">
        <f>'By Round'!B13</f>
        <v/>
      </c>
      <c r="D143">
        <f>'By Round'!C13</f>
        <v/>
      </c>
      <c r="E143">
        <f>'By Round'!D13</f>
        <v/>
      </c>
      <c r="F143" s="11" t="inlineStr">
        <is>
          <t>NS</t>
        </is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2">
        <f>SUM(AF143:AK143)</f>
        <v/>
      </c>
      <c r="M143" s="13">
        <f>SUM(AL143:AQ143)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4">
        <f>SUM(T143:Y143)</f>
        <v/>
      </c>
      <c r="Q143" s="4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>
        <f>'By Round'!A17</f>
        <v/>
      </c>
      <c r="C144">
        <f>'By Round'!B25</f>
        <v/>
      </c>
      <c r="D144">
        <f>'By Round'!C25</f>
        <v/>
      </c>
      <c r="E144">
        <f>'By Round'!D25</f>
        <v/>
      </c>
      <c r="F144" s="11" t="inlineStr">
        <is>
          <t>NS</t>
        </is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2">
        <f>SUM(AF144:AK144)</f>
        <v/>
      </c>
      <c r="M144" s="13">
        <f>SUM(AL144:AQ144)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4">
        <f>SUM(T144:Y144)</f>
        <v/>
      </c>
      <c r="Q144" s="4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>
        <f>'By Round'!A87</f>
        <v/>
      </c>
      <c r="C145">
        <f>'By Round'!B93</f>
        <v/>
      </c>
      <c r="D145">
        <f>'By Round'!C93</f>
        <v/>
      </c>
      <c r="E145">
        <f>'By Round'!D93</f>
        <v/>
      </c>
      <c r="F145" s="11" t="inlineStr">
        <is>
          <t>NS</t>
        </is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2">
        <f>SUM(AF145:AK145)</f>
        <v/>
      </c>
      <c r="M145" s="13">
        <f>SUM(AL145:AQ145)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4">
        <f>SUM(T145:Y145)</f>
        <v/>
      </c>
      <c r="Q145" s="4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>
        <f>'By Round'!A101</f>
        <v/>
      </c>
      <c r="C146">
        <f>'By Round'!B105</f>
        <v/>
      </c>
      <c r="D146">
        <f>'By Round'!C105</f>
        <v/>
      </c>
      <c r="E146">
        <f>'By Round'!D105</f>
        <v/>
      </c>
      <c r="F146" s="11" t="inlineStr">
        <is>
          <t>NS</t>
        </is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2">
        <f>SUM(AF146:AK146)</f>
        <v/>
      </c>
      <c r="M146" s="13">
        <f>SUM(AL146:AQ146)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4">
        <f>SUM(T146:Y146)</f>
        <v/>
      </c>
      <c r="Q146" s="4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>
        <f>'By Round'!A115</f>
        <v/>
      </c>
      <c r="C147">
        <f>'By Round'!B117</f>
        <v/>
      </c>
      <c r="D147">
        <f>'By Round'!C117</f>
        <v/>
      </c>
      <c r="E147">
        <f>'By Round'!D117</f>
        <v/>
      </c>
      <c r="F147" s="11" t="inlineStr">
        <is>
          <t>NS</t>
        </is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2">
        <f>SUM(AF147:AK147)</f>
        <v/>
      </c>
      <c r="M147" s="13">
        <f>SUM(AL147:AQ147)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4">
        <f>SUM(T147:Y147)</f>
        <v/>
      </c>
      <c r="Q147" s="4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>
        <f>'By Round'!A143</f>
        <v/>
      </c>
      <c r="C148">
        <f>'By Round'!B143</f>
        <v/>
      </c>
      <c r="D148">
        <f>'By Round'!C143</f>
        <v/>
      </c>
      <c r="E148">
        <f>'By Round'!D143</f>
        <v/>
      </c>
      <c r="F148" s="11" t="inlineStr">
        <is>
          <t>NS</t>
        </is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2">
        <f>SUM(AF148:AK148)</f>
        <v/>
      </c>
      <c r="M148" s="13">
        <f>SUM(AL148:AQ148)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4">
        <f>SUM(T148:Y148)</f>
        <v/>
      </c>
      <c r="Q148" s="4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5">
        <f>'By Round'!A171</f>
        <v/>
      </c>
      <c r="C149" s="15">
        <f>'By Round'!B183</f>
        <v/>
      </c>
      <c r="D149" s="15">
        <f>'By Round'!C183</f>
        <v/>
      </c>
      <c r="E149" s="15">
        <f>'By Round'!D183</f>
        <v/>
      </c>
      <c r="F149" s="16" t="inlineStr">
        <is>
          <t>NS</t>
        </is>
      </c>
      <c r="G149" s="15">
        <f>IF(ISBLANK('By Round'!G183),"",'By Round'!G183)</f>
        <v/>
      </c>
      <c r="H149" s="15">
        <f>IF(ISBLANK('By Round'!H183),"",'By Round'!H183)</f>
        <v/>
      </c>
      <c r="I149" s="15">
        <f>IF(ISBLANK('By Round'!I183),"",'By Round'!I183)</f>
        <v/>
      </c>
      <c r="J149" s="15">
        <f>IF(ISBLANK('By Round'!J183),"",'By Round'!J183)</f>
        <v/>
      </c>
      <c r="K149" s="15">
        <f>IF(ISBLANK('By Round'!K183),"",'By Round'!K183)</f>
        <v/>
      </c>
      <c r="L149" s="17">
        <f>SUM(AF149:AK149)</f>
        <v/>
      </c>
      <c r="M149" s="18">
        <f>SUM(AL149:AQ149)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t="n">
        <v>22</v>
      </c>
      <c r="B150">
        <f>'By Round'!A3</f>
        <v/>
      </c>
      <c r="C150">
        <f>'By Round'!B13</f>
        <v/>
      </c>
      <c r="D150">
        <f>'By Round'!C13</f>
        <v/>
      </c>
      <c r="E150">
        <f>'By Round'!D13</f>
        <v/>
      </c>
      <c r="F150" s="11" t="inlineStr">
        <is>
          <t>EW</t>
        </is>
      </c>
      <c r="G150">
        <f>IF(ISBLANK('By Round'!G13),"",'By Round'!G13)</f>
        <v/>
      </c>
      <c r="H150">
        <f>IF(ISBLANK('By Round'!H13),"",'By Round'!H13)</f>
        <v/>
      </c>
      <c r="I150">
        <f>IF(ISBLANK('By Round'!I13),"",'By Round'!I13)</f>
        <v/>
      </c>
      <c r="J150">
        <f>IF(ISBLANK('By Round'!J13),"",'By Round'!J13)</f>
        <v/>
      </c>
      <c r="K150">
        <f>IF(ISBLANK('By Round'!K13),"",'By Round'!K13)</f>
        <v/>
      </c>
      <c r="L150" s="12">
        <f>SUM(AF150:AK150)</f>
        <v/>
      </c>
      <c r="M150" s="13">
        <f>SUM(AL150:AQ150)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4">
        <f>SUM(T150:Y150)</f>
        <v/>
      </c>
      <c r="Q150" s="4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>
        <f>'By Round'!A17</f>
        <v/>
      </c>
      <c r="C151">
        <f>'By Round'!B25</f>
        <v/>
      </c>
      <c r="D151">
        <f>'By Round'!C25</f>
        <v/>
      </c>
      <c r="E151">
        <f>'By Round'!D25</f>
        <v/>
      </c>
      <c r="F151" s="11" t="inlineStr">
        <is>
          <t>EW</t>
        </is>
      </c>
      <c r="G151">
        <f>IF(ISBLANK('By Round'!G25),"",'By Round'!G25)</f>
        <v/>
      </c>
      <c r="H151">
        <f>IF(ISBLANK('By Round'!H25),"",'By Round'!H25)</f>
        <v/>
      </c>
      <c r="I151">
        <f>IF(ISBLANK('By Round'!I25),"",'By Round'!I25)</f>
        <v/>
      </c>
      <c r="J151">
        <f>IF(ISBLANK('By Round'!J25),"",'By Round'!J25)</f>
        <v/>
      </c>
      <c r="K151">
        <f>IF(ISBLANK('By Round'!K25),"",'By Round'!K25)</f>
        <v/>
      </c>
      <c r="L151" s="12">
        <f>SUM(AF151:AK151)</f>
        <v/>
      </c>
      <c r="M151" s="13">
        <f>SUM(AL151:AQ151)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4">
        <f>SUM(T151:Y151)</f>
        <v/>
      </c>
      <c r="Q151" s="4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>
        <f>'By Round'!A87</f>
        <v/>
      </c>
      <c r="C152">
        <f>'By Round'!B93</f>
        <v/>
      </c>
      <c r="D152">
        <f>'By Round'!C93</f>
        <v/>
      </c>
      <c r="E152">
        <f>'By Round'!D93</f>
        <v/>
      </c>
      <c r="F152" s="11" t="inlineStr">
        <is>
          <t>EW</t>
        </is>
      </c>
      <c r="G152">
        <f>IF(ISBLANK('By Round'!G93),"",'By Round'!G93)</f>
        <v/>
      </c>
      <c r="H152">
        <f>IF(ISBLANK('By Round'!H93),"",'By Round'!H93)</f>
        <v/>
      </c>
      <c r="I152">
        <f>IF(ISBLANK('By Round'!I93),"",'By Round'!I93)</f>
        <v/>
      </c>
      <c r="J152">
        <f>IF(ISBLANK('By Round'!J93),"",'By Round'!J93)</f>
        <v/>
      </c>
      <c r="K152">
        <f>IF(ISBLANK('By Round'!K93),"",'By Round'!K93)</f>
        <v/>
      </c>
      <c r="L152" s="12">
        <f>SUM(AF152:AK152)</f>
        <v/>
      </c>
      <c r="M152" s="13">
        <f>SUM(AL152:AQ152)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4">
        <f>SUM(T152:Y152)</f>
        <v/>
      </c>
      <c r="Q152" s="4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>
        <f>'By Round'!A101</f>
        <v/>
      </c>
      <c r="C153">
        <f>'By Round'!B105</f>
        <v/>
      </c>
      <c r="D153">
        <f>'By Round'!C105</f>
        <v/>
      </c>
      <c r="E153">
        <f>'By Round'!D105</f>
        <v/>
      </c>
      <c r="F153" s="11" t="inlineStr">
        <is>
          <t>EW</t>
        </is>
      </c>
      <c r="G153">
        <f>IF(ISBLANK('By Round'!G105),"",'By Round'!G105)</f>
        <v/>
      </c>
      <c r="H153">
        <f>IF(ISBLANK('By Round'!H105),"",'By Round'!H105)</f>
        <v/>
      </c>
      <c r="I153">
        <f>IF(ISBLANK('By Round'!I105),"",'By Round'!I105)</f>
        <v/>
      </c>
      <c r="J153">
        <f>IF(ISBLANK('By Round'!J105),"",'By Round'!J105)</f>
        <v/>
      </c>
      <c r="K153">
        <f>IF(ISBLANK('By Round'!K105),"",'By Round'!K105)</f>
        <v/>
      </c>
      <c r="L153" s="12">
        <f>SUM(AF153:AK153)</f>
        <v/>
      </c>
      <c r="M153" s="13">
        <f>SUM(AL153:AQ153)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4">
        <f>SUM(T153:Y153)</f>
        <v/>
      </c>
      <c r="Q153" s="4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>
        <f>'By Round'!A115</f>
        <v/>
      </c>
      <c r="C154">
        <f>'By Round'!B117</f>
        <v/>
      </c>
      <c r="D154">
        <f>'By Round'!C117</f>
        <v/>
      </c>
      <c r="E154">
        <f>'By Round'!D117</f>
        <v/>
      </c>
      <c r="F154" s="11" t="inlineStr">
        <is>
          <t>EW</t>
        </is>
      </c>
      <c r="G154">
        <f>IF(ISBLANK('By Round'!G117),"",'By Round'!G117)</f>
        <v/>
      </c>
      <c r="H154">
        <f>IF(ISBLANK('By Round'!H117),"",'By Round'!H117)</f>
        <v/>
      </c>
      <c r="I154">
        <f>IF(ISBLANK('By Round'!I117),"",'By Round'!I117)</f>
        <v/>
      </c>
      <c r="J154">
        <f>IF(ISBLANK('By Round'!J117),"",'By Round'!J117)</f>
        <v/>
      </c>
      <c r="K154">
        <f>IF(ISBLANK('By Round'!K117),"",'By Round'!K117)</f>
        <v/>
      </c>
      <c r="L154" s="12">
        <f>SUM(AF154:AK154)</f>
        <v/>
      </c>
      <c r="M154" s="13">
        <f>SUM(AL154:AQ154)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4">
        <f>SUM(T154:Y154)</f>
        <v/>
      </c>
      <c r="Q154" s="4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>
        <f>'By Round'!A143</f>
        <v/>
      </c>
      <c r="C155">
        <f>'By Round'!B143</f>
        <v/>
      </c>
      <c r="D155">
        <f>'By Round'!C143</f>
        <v/>
      </c>
      <c r="E155">
        <f>'By Round'!D143</f>
        <v/>
      </c>
      <c r="F155" s="11" t="inlineStr">
        <is>
          <t>EW</t>
        </is>
      </c>
      <c r="G155">
        <f>IF(ISBLANK('By Round'!G143),"",'By Round'!G143)</f>
        <v/>
      </c>
      <c r="H155">
        <f>IF(ISBLANK('By Round'!H143),"",'By Round'!H143)</f>
        <v/>
      </c>
      <c r="I155">
        <f>IF(ISBLANK('By Round'!I143),"",'By Round'!I143)</f>
        <v/>
      </c>
      <c r="J155">
        <f>IF(ISBLANK('By Round'!J143),"",'By Round'!J143)</f>
        <v/>
      </c>
      <c r="K155">
        <f>IF(ISBLANK('By Round'!K143),"",'By Round'!K143)</f>
        <v/>
      </c>
      <c r="L155" s="12">
        <f>SUM(AF155:AK155)</f>
        <v/>
      </c>
      <c r="M155" s="13">
        <f>SUM(AL155:AQ155)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4">
        <f>SUM(T155:Y155)</f>
        <v/>
      </c>
      <c r="Q155" s="4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5">
        <f>'By Round'!A171</f>
        <v/>
      </c>
      <c r="C156" s="15">
        <f>'By Round'!B183</f>
        <v/>
      </c>
      <c r="D156" s="15">
        <f>'By Round'!C183</f>
        <v/>
      </c>
      <c r="E156" s="15">
        <f>'By Round'!D183</f>
        <v/>
      </c>
      <c r="F156" s="16" t="inlineStr">
        <is>
          <t>EW</t>
        </is>
      </c>
      <c r="G156" s="15">
        <f>IF(ISBLANK('By Round'!G183),"",'By Round'!G183)</f>
        <v/>
      </c>
      <c r="H156" s="15">
        <f>IF(ISBLANK('By Round'!H183),"",'By Round'!H183)</f>
        <v/>
      </c>
      <c r="I156" s="15">
        <f>IF(ISBLANK('By Round'!I183),"",'By Round'!I183)</f>
        <v/>
      </c>
      <c r="J156" s="15">
        <f>IF(ISBLANK('By Round'!J183),"",'By Round'!J183)</f>
        <v/>
      </c>
      <c r="K156" s="15">
        <f>IF(ISBLANK('By Round'!K183),"",'By Round'!K183)</f>
        <v/>
      </c>
      <c r="L156" s="17">
        <f>SUM(AF156:AK156)</f>
        <v/>
      </c>
      <c r="M156" s="18">
        <f>SUM(AL156:AQ156)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t="n">
        <v>23</v>
      </c>
      <c r="B157">
        <f>'By Round'!A3</f>
        <v/>
      </c>
      <c r="C157">
        <f>'By Round'!B15</f>
        <v/>
      </c>
      <c r="D157">
        <f>'By Round'!C15</f>
        <v/>
      </c>
      <c r="E157">
        <f>'By Round'!D15</f>
        <v/>
      </c>
      <c r="F157" s="11" t="inlineStr">
        <is>
          <t>Both</t>
        </is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2">
        <f>SUM(AF157:AK157)</f>
        <v/>
      </c>
      <c r="M157" s="13">
        <f>SUM(AL157:AQ157)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4">
        <f>SUM(T157:Y157)</f>
        <v/>
      </c>
      <c r="Q157" s="4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>
        <f>'By Round'!A17</f>
        <v/>
      </c>
      <c r="C158">
        <f>'By Round'!B27</f>
        <v/>
      </c>
      <c r="D158">
        <f>'By Round'!C27</f>
        <v/>
      </c>
      <c r="E158">
        <f>'By Round'!D27</f>
        <v/>
      </c>
      <c r="F158" s="11" t="inlineStr">
        <is>
          <t>Both</t>
        </is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2">
        <f>SUM(AF158:AK158)</f>
        <v/>
      </c>
      <c r="M158" s="13">
        <f>SUM(AL158:AQ158)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4">
        <f>SUM(T158:Y158)</f>
        <v/>
      </c>
      <c r="Q158" s="4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>
        <f>'By Round'!A31</f>
        <v/>
      </c>
      <c r="C159">
        <f>'By Round'!B39</f>
        <v/>
      </c>
      <c r="D159">
        <f>'By Round'!C39</f>
        <v/>
      </c>
      <c r="E159">
        <f>'By Round'!D39</f>
        <v/>
      </c>
      <c r="F159" s="11" t="inlineStr">
        <is>
          <t>Both</t>
        </is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2">
        <f>SUM(AF159:AK159)</f>
        <v/>
      </c>
      <c r="M159" s="13">
        <f>SUM(AL159:AQ159)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4">
        <f>SUM(T159:Y159)</f>
        <v/>
      </c>
      <c r="Q159" s="4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>
        <f>'By Round'!A101</f>
        <v/>
      </c>
      <c r="C160">
        <f>'By Round'!B107</f>
        <v/>
      </c>
      <c r="D160">
        <f>'By Round'!C107</f>
        <v/>
      </c>
      <c r="E160">
        <f>'By Round'!D107</f>
        <v/>
      </c>
      <c r="F160" s="11" t="inlineStr">
        <is>
          <t>Both</t>
        </is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2">
        <f>SUM(AF160:AK160)</f>
        <v/>
      </c>
      <c r="M160" s="13">
        <f>SUM(AL160:AQ160)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4">
        <f>SUM(T160:Y160)</f>
        <v/>
      </c>
      <c r="Q160" s="4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>
        <f>'By Round'!A115</f>
        <v/>
      </c>
      <c r="C161">
        <f>'By Round'!B119</f>
        <v/>
      </c>
      <c r="D161">
        <f>'By Round'!C119</f>
        <v/>
      </c>
      <c r="E161">
        <f>'By Round'!D119</f>
        <v/>
      </c>
      <c r="F161" s="11" t="inlineStr">
        <is>
          <t>Both</t>
        </is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2">
        <f>SUM(AF161:AK161)</f>
        <v/>
      </c>
      <c r="M161" s="13">
        <f>SUM(AL161:AQ161)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4">
        <f>SUM(T161:Y161)</f>
        <v/>
      </c>
      <c r="Q161" s="4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>
        <f>'By Round'!A129</f>
        <v/>
      </c>
      <c r="C162">
        <f>'By Round'!B131</f>
        <v/>
      </c>
      <c r="D162">
        <f>'By Round'!C131</f>
        <v/>
      </c>
      <c r="E162">
        <f>'By Round'!D131</f>
        <v/>
      </c>
      <c r="F162" s="11" t="inlineStr">
        <is>
          <t>Both</t>
        </is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2">
        <f>SUM(AF162:AK162)</f>
        <v/>
      </c>
      <c r="M162" s="13">
        <f>SUM(AL162:AQ162)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4">
        <f>SUM(T162:Y162)</f>
        <v/>
      </c>
      <c r="Q162" s="4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5">
        <f>'By Round'!A157</f>
        <v/>
      </c>
      <c r="C163" s="15">
        <f>'By Round'!B157</f>
        <v/>
      </c>
      <c r="D163" s="15">
        <f>'By Round'!C157</f>
        <v/>
      </c>
      <c r="E163" s="15">
        <f>'By Round'!D157</f>
        <v/>
      </c>
      <c r="F163" s="16" t="inlineStr">
        <is>
          <t>Both</t>
        </is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SUM(AF163:AK163)</f>
        <v/>
      </c>
      <c r="M163" s="18">
        <f>SUM(AL163:AQ163)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t="n">
        <v>24</v>
      </c>
      <c r="B164">
        <f>'By Round'!A3</f>
        <v/>
      </c>
      <c r="C164">
        <f>'By Round'!B15</f>
        <v/>
      </c>
      <c r="D164">
        <f>'By Round'!C15</f>
        <v/>
      </c>
      <c r="E164">
        <f>'By Round'!D15</f>
        <v/>
      </c>
      <c r="F164" s="11" t="inlineStr">
        <is>
          <t>None</t>
        </is>
      </c>
      <c r="G164">
        <f>IF(ISBLANK('By Round'!G15),"",'By Round'!G15)</f>
        <v/>
      </c>
      <c r="H164">
        <f>IF(ISBLANK('By Round'!H15),"",'By Round'!H15)</f>
        <v/>
      </c>
      <c r="I164">
        <f>IF(ISBLANK('By Round'!I15),"",'By Round'!I15)</f>
        <v/>
      </c>
      <c r="J164">
        <f>IF(ISBLANK('By Round'!J15),"",'By Round'!J15)</f>
        <v/>
      </c>
      <c r="K164">
        <f>IF(ISBLANK('By Round'!K15),"",'By Round'!K15)</f>
        <v/>
      </c>
      <c r="L164" s="12">
        <f>SUM(AF164:AK164)</f>
        <v/>
      </c>
      <c r="M164" s="13">
        <f>SUM(AL164:AQ164)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4">
        <f>SUM(T164:Y164)</f>
        <v/>
      </c>
      <c r="Q164" s="4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>
        <f>'By Round'!A17</f>
        <v/>
      </c>
      <c r="C165">
        <f>'By Round'!B27</f>
        <v/>
      </c>
      <c r="D165">
        <f>'By Round'!C27</f>
        <v/>
      </c>
      <c r="E165">
        <f>'By Round'!D27</f>
        <v/>
      </c>
      <c r="F165" s="11" t="inlineStr">
        <is>
          <t>None</t>
        </is>
      </c>
      <c r="G165">
        <f>IF(ISBLANK('By Round'!G27),"",'By Round'!G27)</f>
        <v/>
      </c>
      <c r="H165">
        <f>IF(ISBLANK('By Round'!H27),"",'By Round'!H27)</f>
        <v/>
      </c>
      <c r="I165">
        <f>IF(ISBLANK('By Round'!I27),"",'By Round'!I27)</f>
        <v/>
      </c>
      <c r="J165">
        <f>IF(ISBLANK('By Round'!J27),"",'By Round'!J27)</f>
        <v/>
      </c>
      <c r="K165">
        <f>IF(ISBLANK('By Round'!K27),"",'By Round'!K27)</f>
        <v/>
      </c>
      <c r="L165" s="12">
        <f>SUM(AF165:AK165)</f>
        <v/>
      </c>
      <c r="M165" s="13">
        <f>SUM(AL165:AQ165)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4">
        <f>SUM(T165:Y165)</f>
        <v/>
      </c>
      <c r="Q165" s="4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>
        <f>'By Round'!A31</f>
        <v/>
      </c>
      <c r="C166">
        <f>'By Round'!B39</f>
        <v/>
      </c>
      <c r="D166">
        <f>'By Round'!C39</f>
        <v/>
      </c>
      <c r="E166">
        <f>'By Round'!D39</f>
        <v/>
      </c>
      <c r="F166" s="11" t="inlineStr">
        <is>
          <t>None</t>
        </is>
      </c>
      <c r="G166">
        <f>IF(ISBLANK('By Round'!G39),"",'By Round'!G39)</f>
        <v/>
      </c>
      <c r="H166">
        <f>IF(ISBLANK('By Round'!H39),"",'By Round'!H39)</f>
        <v/>
      </c>
      <c r="I166">
        <f>IF(ISBLANK('By Round'!I39),"",'By Round'!I39)</f>
        <v/>
      </c>
      <c r="J166">
        <f>IF(ISBLANK('By Round'!J39),"",'By Round'!J39)</f>
        <v/>
      </c>
      <c r="K166">
        <f>IF(ISBLANK('By Round'!K39),"",'By Round'!K39)</f>
        <v/>
      </c>
      <c r="L166" s="12">
        <f>SUM(AF166:AK166)</f>
        <v/>
      </c>
      <c r="M166" s="13">
        <f>SUM(AL166:AQ166)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4">
        <f>SUM(T166:Y166)</f>
        <v/>
      </c>
      <c r="Q166" s="4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>
        <f>'By Round'!A101</f>
        <v/>
      </c>
      <c r="C167">
        <f>'By Round'!B107</f>
        <v/>
      </c>
      <c r="D167">
        <f>'By Round'!C107</f>
        <v/>
      </c>
      <c r="E167">
        <f>'By Round'!D107</f>
        <v/>
      </c>
      <c r="F167" s="11" t="inlineStr">
        <is>
          <t>None</t>
        </is>
      </c>
      <c r="G167">
        <f>IF(ISBLANK('By Round'!G107),"",'By Round'!G107)</f>
        <v/>
      </c>
      <c r="H167">
        <f>IF(ISBLANK('By Round'!H107),"",'By Round'!H107)</f>
        <v/>
      </c>
      <c r="I167">
        <f>IF(ISBLANK('By Round'!I107),"",'By Round'!I107)</f>
        <v/>
      </c>
      <c r="J167">
        <f>IF(ISBLANK('By Round'!J107),"",'By Round'!J107)</f>
        <v/>
      </c>
      <c r="K167">
        <f>IF(ISBLANK('By Round'!K107),"",'By Round'!K107)</f>
        <v/>
      </c>
      <c r="L167" s="12">
        <f>SUM(AF167:AK167)</f>
        <v/>
      </c>
      <c r="M167" s="13">
        <f>SUM(AL167:AQ167)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4">
        <f>SUM(T167:Y167)</f>
        <v/>
      </c>
      <c r="Q167" s="4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>
        <f>'By Round'!A115</f>
        <v/>
      </c>
      <c r="C168">
        <f>'By Round'!B119</f>
        <v/>
      </c>
      <c r="D168">
        <f>'By Round'!C119</f>
        <v/>
      </c>
      <c r="E168">
        <f>'By Round'!D119</f>
        <v/>
      </c>
      <c r="F168" s="11" t="inlineStr">
        <is>
          <t>None</t>
        </is>
      </c>
      <c r="G168">
        <f>IF(ISBLANK('By Round'!G119),"",'By Round'!G119)</f>
        <v/>
      </c>
      <c r="H168">
        <f>IF(ISBLANK('By Round'!H119),"",'By Round'!H119)</f>
        <v/>
      </c>
      <c r="I168">
        <f>IF(ISBLANK('By Round'!I119),"",'By Round'!I119)</f>
        <v/>
      </c>
      <c r="J168">
        <f>IF(ISBLANK('By Round'!J119),"",'By Round'!J119)</f>
        <v/>
      </c>
      <c r="K168">
        <f>IF(ISBLANK('By Round'!K119),"",'By Round'!K119)</f>
        <v/>
      </c>
      <c r="L168" s="12">
        <f>SUM(AF168:AK168)</f>
        <v/>
      </c>
      <c r="M168" s="13">
        <f>SUM(AL168:AQ168)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4">
        <f>SUM(T168:Y168)</f>
        <v/>
      </c>
      <c r="Q168" s="4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>
        <f>'By Round'!A129</f>
        <v/>
      </c>
      <c r="C169">
        <f>'By Round'!B131</f>
        <v/>
      </c>
      <c r="D169">
        <f>'By Round'!C131</f>
        <v/>
      </c>
      <c r="E169">
        <f>'By Round'!D131</f>
        <v/>
      </c>
      <c r="F169" s="11" t="inlineStr">
        <is>
          <t>None</t>
        </is>
      </c>
      <c r="G169">
        <f>IF(ISBLANK('By Round'!G131),"",'By Round'!G131)</f>
        <v/>
      </c>
      <c r="H169">
        <f>IF(ISBLANK('By Round'!H131),"",'By Round'!H131)</f>
        <v/>
      </c>
      <c r="I169">
        <f>IF(ISBLANK('By Round'!I131),"",'By Round'!I131)</f>
        <v/>
      </c>
      <c r="J169">
        <f>IF(ISBLANK('By Round'!J131),"",'By Round'!J131)</f>
        <v/>
      </c>
      <c r="K169">
        <f>IF(ISBLANK('By Round'!K131),"",'By Round'!K131)</f>
        <v/>
      </c>
      <c r="L169" s="12">
        <f>SUM(AF169:AK169)</f>
        <v/>
      </c>
      <c r="M169" s="13">
        <f>SUM(AL169:AQ169)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4">
        <f>SUM(T169:Y169)</f>
        <v/>
      </c>
      <c r="Q169" s="4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5">
        <f>'By Round'!A157</f>
        <v/>
      </c>
      <c r="C170" s="15">
        <f>'By Round'!B157</f>
        <v/>
      </c>
      <c r="D170" s="15">
        <f>'By Round'!C157</f>
        <v/>
      </c>
      <c r="E170" s="15">
        <f>'By Round'!D157</f>
        <v/>
      </c>
      <c r="F170" s="16" t="inlineStr">
        <is>
          <t>None</t>
        </is>
      </c>
      <c r="G170" s="15">
        <f>IF(ISBLANK('By Round'!G157),"",'By Round'!G157)</f>
        <v/>
      </c>
      <c r="H170" s="15">
        <f>IF(ISBLANK('By Round'!H157),"",'By Round'!H157)</f>
        <v/>
      </c>
      <c r="I170" s="15">
        <f>IF(ISBLANK('By Round'!I157),"",'By Round'!I157)</f>
        <v/>
      </c>
      <c r="J170" s="15">
        <f>IF(ISBLANK('By Round'!J157),"",'By Round'!J157)</f>
        <v/>
      </c>
      <c r="K170" s="15">
        <f>IF(ISBLANK('By Round'!K157),"",'By Round'!K157)</f>
        <v/>
      </c>
      <c r="L170" s="17">
        <f>SUM(AF170:AK170)</f>
        <v/>
      </c>
      <c r="M170" s="18">
        <f>SUM(AL170:AQ170)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t="n">
        <v>25</v>
      </c>
      <c r="B171">
        <f>'By Round'!A17</f>
        <v/>
      </c>
      <c r="C171">
        <f>'By Round'!B29</f>
        <v/>
      </c>
      <c r="D171">
        <f>'By Round'!C29</f>
        <v/>
      </c>
      <c r="E171">
        <f>'By Round'!D29</f>
        <v/>
      </c>
      <c r="F171" s="11" t="inlineStr">
        <is>
          <t>EW</t>
        </is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2">
        <f>SUM(AF171:AK171)</f>
        <v/>
      </c>
      <c r="M171" s="13">
        <f>SUM(AL171:AQ171)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4">
        <f>SUM(T171:Y171)</f>
        <v/>
      </c>
      <c r="Q171" s="4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>
        <f>'By Round'!A31</f>
        <v/>
      </c>
      <c r="C172">
        <f>'By Round'!B41</f>
        <v/>
      </c>
      <c r="D172">
        <f>'By Round'!C41</f>
        <v/>
      </c>
      <c r="E172">
        <f>'By Round'!D41</f>
        <v/>
      </c>
      <c r="F172" s="11" t="inlineStr">
        <is>
          <t>EW</t>
        </is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2">
        <f>SUM(AF172:AK172)</f>
        <v/>
      </c>
      <c r="M172" s="13">
        <f>SUM(AL172:AQ172)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4">
        <f>SUM(T172:Y172)</f>
        <v/>
      </c>
      <c r="Q172" s="4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>
        <f>'By Round'!A45</f>
        <v/>
      </c>
      <c r="C173">
        <f>'By Round'!B53</f>
        <v/>
      </c>
      <c r="D173">
        <f>'By Round'!C53</f>
        <v/>
      </c>
      <c r="E173">
        <f>'By Round'!D53</f>
        <v/>
      </c>
      <c r="F173" s="11" t="inlineStr">
        <is>
          <t>EW</t>
        </is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2">
        <f>SUM(AF173:AK173)</f>
        <v/>
      </c>
      <c r="M173" s="13">
        <f>SUM(AL173:AQ173)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4">
        <f>SUM(T173:Y173)</f>
        <v/>
      </c>
      <c r="Q173" s="4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>
        <f>'By Round'!A115</f>
        <v/>
      </c>
      <c r="C174">
        <f>'By Round'!B121</f>
        <v/>
      </c>
      <c r="D174">
        <f>'By Round'!C121</f>
        <v/>
      </c>
      <c r="E174">
        <f>'By Round'!D121</f>
        <v/>
      </c>
      <c r="F174" s="11" t="inlineStr">
        <is>
          <t>EW</t>
        </is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2">
        <f>SUM(AF174:AK174)</f>
        <v/>
      </c>
      <c r="M174" s="13">
        <f>SUM(AL174:AQ174)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4">
        <f>SUM(T174:Y174)</f>
        <v/>
      </c>
      <c r="Q174" s="4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>
        <f>'By Round'!A129</f>
        <v/>
      </c>
      <c r="C175">
        <f>'By Round'!B133</f>
        <v/>
      </c>
      <c r="D175">
        <f>'By Round'!C133</f>
        <v/>
      </c>
      <c r="E175">
        <f>'By Round'!D133</f>
        <v/>
      </c>
      <c r="F175" s="11" t="inlineStr">
        <is>
          <t>EW</t>
        </is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2">
        <f>SUM(AF175:AK175)</f>
        <v/>
      </c>
      <c r="M175" s="13">
        <f>SUM(AL175:AQ175)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4">
        <f>SUM(T175:Y175)</f>
        <v/>
      </c>
      <c r="Q175" s="4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>
        <f>'By Round'!A143</f>
        <v/>
      </c>
      <c r="C176">
        <f>'By Round'!B145</f>
        <v/>
      </c>
      <c r="D176">
        <f>'By Round'!C145</f>
        <v/>
      </c>
      <c r="E176">
        <f>'By Round'!D145</f>
        <v/>
      </c>
      <c r="F176" s="11" t="inlineStr">
        <is>
          <t>EW</t>
        </is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2">
        <f>SUM(AF176:AK176)</f>
        <v/>
      </c>
      <c r="M176" s="13">
        <f>SUM(AL176:AQ176)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4">
        <f>SUM(T176:Y176)</f>
        <v/>
      </c>
      <c r="Q176" s="4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5">
        <f>'By Round'!A171</f>
        <v/>
      </c>
      <c r="C177" s="15">
        <f>'By Round'!B171</f>
        <v/>
      </c>
      <c r="D177" s="15">
        <f>'By Round'!C171</f>
        <v/>
      </c>
      <c r="E177" s="15">
        <f>'By Round'!D171</f>
        <v/>
      </c>
      <c r="F177" s="16" t="inlineStr">
        <is>
          <t>EW</t>
        </is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SUM(AF177:AK177)</f>
        <v/>
      </c>
      <c r="M177" s="18">
        <f>SUM(AL177:AQ177)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t="n">
        <v>26</v>
      </c>
      <c r="B178">
        <f>'By Round'!A17</f>
        <v/>
      </c>
      <c r="C178">
        <f>'By Round'!B29</f>
        <v/>
      </c>
      <c r="D178">
        <f>'By Round'!C29</f>
        <v/>
      </c>
      <c r="E178">
        <f>'By Round'!D29</f>
        <v/>
      </c>
      <c r="F178" s="11" t="inlineStr">
        <is>
          <t>Both</t>
        </is>
      </c>
      <c r="G178">
        <f>IF(ISBLANK('By Round'!G29),"",'By Round'!G29)</f>
        <v/>
      </c>
      <c r="H178">
        <f>IF(ISBLANK('By Round'!H29),"",'By Round'!H29)</f>
        <v/>
      </c>
      <c r="I178">
        <f>IF(ISBLANK('By Round'!I29),"",'By Round'!I29)</f>
        <v/>
      </c>
      <c r="J178">
        <f>IF(ISBLANK('By Round'!J29),"",'By Round'!J29)</f>
        <v/>
      </c>
      <c r="K178">
        <f>IF(ISBLANK('By Round'!K29),"",'By Round'!K29)</f>
        <v/>
      </c>
      <c r="L178" s="12">
        <f>SUM(AF178:AK178)</f>
        <v/>
      </c>
      <c r="M178" s="13">
        <f>SUM(AL178:AQ178)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4">
        <f>SUM(T178:Y178)</f>
        <v/>
      </c>
      <c r="Q178" s="4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>
        <f>'By Round'!A31</f>
        <v/>
      </c>
      <c r="C179">
        <f>'By Round'!B41</f>
        <v/>
      </c>
      <c r="D179">
        <f>'By Round'!C41</f>
        <v/>
      </c>
      <c r="E179">
        <f>'By Round'!D41</f>
        <v/>
      </c>
      <c r="F179" s="11" t="inlineStr">
        <is>
          <t>Both</t>
        </is>
      </c>
      <c r="G179">
        <f>IF(ISBLANK('By Round'!G41),"",'By Round'!G41)</f>
        <v/>
      </c>
      <c r="H179">
        <f>IF(ISBLANK('By Round'!H41),"",'By Round'!H41)</f>
        <v/>
      </c>
      <c r="I179">
        <f>IF(ISBLANK('By Round'!I41),"",'By Round'!I41)</f>
        <v/>
      </c>
      <c r="J179">
        <f>IF(ISBLANK('By Round'!J41),"",'By Round'!J41)</f>
        <v/>
      </c>
      <c r="K179">
        <f>IF(ISBLANK('By Round'!K41),"",'By Round'!K41)</f>
        <v/>
      </c>
      <c r="L179" s="12">
        <f>SUM(AF179:AK179)</f>
        <v/>
      </c>
      <c r="M179" s="13">
        <f>SUM(AL179:AQ179)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4">
        <f>SUM(T179:Y179)</f>
        <v/>
      </c>
      <c r="Q179" s="4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>
        <f>'By Round'!A45</f>
        <v/>
      </c>
      <c r="C180">
        <f>'By Round'!B53</f>
        <v/>
      </c>
      <c r="D180">
        <f>'By Round'!C53</f>
        <v/>
      </c>
      <c r="E180">
        <f>'By Round'!D53</f>
        <v/>
      </c>
      <c r="F180" s="11" t="inlineStr">
        <is>
          <t>Both</t>
        </is>
      </c>
      <c r="G180">
        <f>IF(ISBLANK('By Round'!G53),"",'By Round'!G53)</f>
        <v/>
      </c>
      <c r="H180">
        <f>IF(ISBLANK('By Round'!H53),"",'By Round'!H53)</f>
        <v/>
      </c>
      <c r="I180">
        <f>IF(ISBLANK('By Round'!I53),"",'By Round'!I53)</f>
        <v/>
      </c>
      <c r="J180">
        <f>IF(ISBLANK('By Round'!J53),"",'By Round'!J53)</f>
        <v/>
      </c>
      <c r="K180">
        <f>IF(ISBLANK('By Round'!K53),"",'By Round'!K53)</f>
        <v/>
      </c>
      <c r="L180" s="12">
        <f>SUM(AF180:AK180)</f>
        <v/>
      </c>
      <c r="M180" s="13">
        <f>SUM(AL180:AQ180)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4">
        <f>SUM(T180:Y180)</f>
        <v/>
      </c>
      <c r="Q180" s="4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>
        <f>'By Round'!A115</f>
        <v/>
      </c>
      <c r="C181">
        <f>'By Round'!B121</f>
        <v/>
      </c>
      <c r="D181">
        <f>'By Round'!C121</f>
        <v/>
      </c>
      <c r="E181">
        <f>'By Round'!D121</f>
        <v/>
      </c>
      <c r="F181" s="11" t="inlineStr">
        <is>
          <t>Both</t>
        </is>
      </c>
      <c r="G181">
        <f>IF(ISBLANK('By Round'!G121),"",'By Round'!G121)</f>
        <v/>
      </c>
      <c r="H181">
        <f>IF(ISBLANK('By Round'!H121),"",'By Round'!H121)</f>
        <v/>
      </c>
      <c r="I181">
        <f>IF(ISBLANK('By Round'!I121),"",'By Round'!I121)</f>
        <v/>
      </c>
      <c r="J181">
        <f>IF(ISBLANK('By Round'!J121),"",'By Round'!J121)</f>
        <v/>
      </c>
      <c r="K181">
        <f>IF(ISBLANK('By Round'!K121),"",'By Round'!K121)</f>
        <v/>
      </c>
      <c r="L181" s="12">
        <f>SUM(AF181:AK181)</f>
        <v/>
      </c>
      <c r="M181" s="13">
        <f>SUM(AL181:AQ181)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4">
        <f>SUM(T181:Y181)</f>
        <v/>
      </c>
      <c r="Q181" s="4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>
        <f>'By Round'!A129</f>
        <v/>
      </c>
      <c r="C182">
        <f>'By Round'!B133</f>
        <v/>
      </c>
      <c r="D182">
        <f>'By Round'!C133</f>
        <v/>
      </c>
      <c r="E182">
        <f>'By Round'!D133</f>
        <v/>
      </c>
      <c r="F182" s="11" t="inlineStr">
        <is>
          <t>Both</t>
        </is>
      </c>
      <c r="G182">
        <f>IF(ISBLANK('By Round'!G133),"",'By Round'!G133)</f>
        <v/>
      </c>
      <c r="H182">
        <f>IF(ISBLANK('By Round'!H133),"",'By Round'!H133)</f>
        <v/>
      </c>
      <c r="I182">
        <f>IF(ISBLANK('By Round'!I133),"",'By Round'!I133)</f>
        <v/>
      </c>
      <c r="J182">
        <f>IF(ISBLANK('By Round'!J133),"",'By Round'!J133)</f>
        <v/>
      </c>
      <c r="K182">
        <f>IF(ISBLANK('By Round'!K133),"",'By Round'!K133)</f>
        <v/>
      </c>
      <c r="L182" s="12">
        <f>SUM(AF182:AK182)</f>
        <v/>
      </c>
      <c r="M182" s="13">
        <f>SUM(AL182:AQ182)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4">
        <f>SUM(T182:Y182)</f>
        <v/>
      </c>
      <c r="Q182" s="4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>
        <f>'By Round'!A143</f>
        <v/>
      </c>
      <c r="C183">
        <f>'By Round'!B145</f>
        <v/>
      </c>
      <c r="D183">
        <f>'By Round'!C145</f>
        <v/>
      </c>
      <c r="E183">
        <f>'By Round'!D145</f>
        <v/>
      </c>
      <c r="F183" s="11" t="inlineStr">
        <is>
          <t>Both</t>
        </is>
      </c>
      <c r="G183">
        <f>IF(ISBLANK('By Round'!G145),"",'By Round'!G145)</f>
        <v/>
      </c>
      <c r="H183">
        <f>IF(ISBLANK('By Round'!H145),"",'By Round'!H145)</f>
        <v/>
      </c>
      <c r="I183">
        <f>IF(ISBLANK('By Round'!I145),"",'By Round'!I145)</f>
        <v/>
      </c>
      <c r="J183">
        <f>IF(ISBLANK('By Round'!J145),"",'By Round'!J145)</f>
        <v/>
      </c>
      <c r="K183">
        <f>IF(ISBLANK('By Round'!K145),"",'By Round'!K145)</f>
        <v/>
      </c>
      <c r="L183" s="12">
        <f>SUM(AF183:AK183)</f>
        <v/>
      </c>
      <c r="M183" s="13">
        <f>SUM(AL183:AQ183)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4">
        <f>SUM(T183:Y183)</f>
        <v/>
      </c>
      <c r="Q183" s="4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5">
        <f>'By Round'!A171</f>
        <v/>
      </c>
      <c r="C184" s="15">
        <f>'By Round'!B171</f>
        <v/>
      </c>
      <c r="D184" s="15">
        <f>'By Round'!C171</f>
        <v/>
      </c>
      <c r="E184" s="15">
        <f>'By Round'!D171</f>
        <v/>
      </c>
      <c r="F184" s="16" t="inlineStr">
        <is>
          <t>Both</t>
        </is>
      </c>
      <c r="G184" s="15">
        <f>IF(ISBLANK('By Round'!G171),"",'By Round'!G171)</f>
        <v/>
      </c>
      <c r="H184" s="15">
        <f>IF(ISBLANK('By Round'!H171),"",'By Round'!H171)</f>
        <v/>
      </c>
      <c r="I184" s="15">
        <f>IF(ISBLANK('By Round'!I171),"",'By Round'!I171)</f>
        <v/>
      </c>
      <c r="J184" s="15">
        <f>IF(ISBLANK('By Round'!J171),"",'By Round'!J171)</f>
        <v/>
      </c>
      <c r="K184" s="15">
        <f>IF(ISBLANK('By Round'!K171),"",'By Round'!K171)</f>
        <v/>
      </c>
      <c r="L184" s="17">
        <f>SUM(AF184:AK184)</f>
        <v/>
      </c>
      <c r="M184" s="18">
        <f>SUM(AL184:AQ184)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n">
        <v>0</v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n">
        <v>0</v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n">
        <v>0</v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n">
        <v>0</v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n">
        <v>0</v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n">
        <v>0</v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n">
        <v>0</v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n">
        <v>0</v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n">
        <v>0</v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n">
        <v>0</v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n">
        <v>0</v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n">
        <v>0</v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  <row r="9">
      <c r="A9" s="23" t="n">
        <v>6</v>
      </c>
      <c r="B9" s="24" t="n"/>
      <c r="C9" s="24" t="n"/>
      <c r="D9" s="24" t="n"/>
      <c r="E9" s="24" t="n"/>
      <c r="F9" s="24" t="n"/>
      <c r="G9" s="24" t="n"/>
      <c r="H9" s="24" t="n"/>
    </row>
    <row r="10">
      <c r="A10" s="23" t="n">
        <v>7</v>
      </c>
      <c r="B10" s="24" t="n"/>
      <c r="C10" s="24" t="n"/>
      <c r="D10" s="24" t="n"/>
      <c r="E10" s="24" t="n"/>
      <c r="F10" s="24" t="n"/>
      <c r="G10" s="24" t="n"/>
      <c r="H10" s="24" t="n"/>
    </row>
    <row r="11">
      <c r="A11" s="23" t="n">
        <v>8</v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3" t="n">
        <v>9</v>
      </c>
      <c r="B12" s="24" t="n"/>
      <c r="C12" s="24" t="n"/>
      <c r="D12" s="24" t="n"/>
      <c r="E12" s="24" t="n"/>
      <c r="F12" s="24" t="n"/>
      <c r="G12" s="24" t="n"/>
      <c r="H12" s="24" t="n"/>
    </row>
    <row r="13">
      <c r="A13" s="23" t="n">
        <v>10</v>
      </c>
      <c r="B13" s="24" t="n"/>
      <c r="C13" s="24" t="n"/>
      <c r="D13" s="24" t="n"/>
      <c r="E13" s="24" t="n"/>
      <c r="F13" s="24" t="n"/>
      <c r="G13" s="24" t="n"/>
      <c r="H13" s="24" t="n"/>
    </row>
    <row r="14">
      <c r="A14" s="23" t="n">
        <v>11</v>
      </c>
      <c r="B14" s="24" t="n"/>
      <c r="C14" s="24" t="n"/>
      <c r="D14" s="24" t="n"/>
      <c r="E14" s="24" t="n"/>
      <c r="F14" s="24" t="n"/>
      <c r="G14" s="24" t="n"/>
      <c r="H14" s="24" t="n"/>
    </row>
    <row r="15">
      <c r="A15" s="23" t="n">
        <v>12</v>
      </c>
      <c r="B15" s="24" t="n"/>
      <c r="C15" s="24" t="n"/>
      <c r="D15" s="24" t="n"/>
      <c r="E15" s="24" t="n"/>
      <c r="F15" s="24" t="n"/>
      <c r="G15" s="24" t="n"/>
      <c r="H15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2026-02-02T17:46:18Z</dcterms:created>
  <dcterms:modified xsi:type="dcterms:W3CDTF">2026-02-02T17:46:18Z</dcterms:modified>
</cp:coreProperties>
</file>