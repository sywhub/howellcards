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Board'!N3:N50)/12</f>
        <v/>
      </c>
      <c r="E9" s="5">
        <f>SUMIF('By Board'!D3:D50,"="&amp;A9,'By Board'!L3:L50)</f>
        <v/>
      </c>
    </row>
    <row r="10">
      <c r="A10" s="2" t="n">
        <v>1</v>
      </c>
      <c r="B10" t="inlineStr">
        <is>
          <t>Name 63</t>
        </is>
      </c>
      <c r="C10" t="inlineStr">
        <is>
          <t>Name 59</t>
        </is>
      </c>
      <c r="D10" s="6">
        <f>SUMIF('By Board'!D3:D50,"="&amp;A10,'By Board'!N3:N50)/12</f>
        <v/>
      </c>
      <c r="E10" s="7">
        <f>SUMIF('By Board'!D3:D50,"="&amp;A10,'By Board'!L3:L50)</f>
        <v/>
      </c>
    </row>
    <row r="11">
      <c r="A11" s="2" t="n">
        <v>2</v>
      </c>
      <c r="B11" t="inlineStr">
        <is>
          <t>Name 39</t>
        </is>
      </c>
      <c r="C11" t="inlineStr">
        <is>
          <t>Name 12</t>
        </is>
      </c>
      <c r="D11" s="6">
        <f>SUMIF('By Board'!D3:D50,"="&amp;A11,'By Board'!N3:N50)/12</f>
        <v/>
      </c>
      <c r="E11" s="7">
        <f>SUMIF('By Board'!D3:D50,"="&amp;A11,'By Board'!L3:L50)</f>
        <v/>
      </c>
    </row>
    <row r="12">
      <c r="A12" s="2" t="n">
        <v>3</v>
      </c>
      <c r="B12" t="inlineStr">
        <is>
          <t>Name 70</t>
        </is>
      </c>
      <c r="C12" t="inlineStr">
        <is>
          <t>Name 54</t>
        </is>
      </c>
      <c r="D12" s="6">
        <f>SUMIF('By Board'!D3:D50,"="&amp;A12,'By Board'!N3:N50)/12</f>
        <v/>
      </c>
      <c r="E12" s="7">
        <f>SUMIF('By Board'!D3:D50,"="&amp;A12,'By Board'!L3:L50)</f>
        <v/>
      </c>
    </row>
    <row r="13">
      <c r="A13" s="8" t="n">
        <v>4</v>
      </c>
      <c r="B13" s="9" t="inlineStr">
        <is>
          <t>Name 87</t>
        </is>
      </c>
      <c r="C13" s="9" t="inlineStr">
        <is>
          <t>Name 58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Board'!O3:O50)/12</f>
        <v/>
      </c>
      <c r="E16" s="5">
        <f>SUMIF('By Board'!E3:E50,"="&amp;A16,'By Board'!M3:M50)</f>
        <v/>
      </c>
    </row>
    <row r="17">
      <c r="A17" s="2" t="n">
        <v>1</v>
      </c>
      <c r="B17" t="inlineStr">
        <is>
          <t>Name 34</t>
        </is>
      </c>
      <c r="C17" t="inlineStr">
        <is>
          <t>Name 34</t>
        </is>
      </c>
      <c r="D17" s="6">
        <f>SUMIF('By Board'!E3:E50,"="&amp;A17,'By Board'!O3:O50)/12</f>
        <v/>
      </c>
      <c r="E17" s="7">
        <f>SUMIF('By Board'!E3:E50,"="&amp;A17,'By Board'!M3:M50)</f>
        <v/>
      </c>
    </row>
    <row r="18">
      <c r="A18" s="2" t="n">
        <v>2</v>
      </c>
      <c r="B18" t="inlineStr">
        <is>
          <t>Name 66</t>
        </is>
      </c>
      <c r="C18" t="inlineStr">
        <is>
          <t>Name 23</t>
        </is>
      </c>
      <c r="D18" s="6">
        <f>SUMIF('By Board'!E3:E50,"="&amp;A18,'By Board'!O3:O50)/12</f>
        <v/>
      </c>
      <c r="E18" s="7">
        <f>SUMIF('By Board'!E3:E50,"="&amp;A18,'By Board'!M3:M50)</f>
        <v/>
      </c>
    </row>
    <row r="19">
      <c r="A19" s="2" t="n">
        <v>3</v>
      </c>
      <c r="B19" t="inlineStr">
        <is>
          <t>Name 86</t>
        </is>
      </c>
      <c r="C19" t="inlineStr">
        <is>
          <t>Name 36</t>
        </is>
      </c>
      <c r="D19" s="6">
        <f>SUMIF('By Board'!E3:E50,"="&amp;A19,'By Board'!O3:O50)/12</f>
        <v/>
      </c>
      <c r="E19" s="7">
        <f>SUMIF('By Board'!E3:E50,"="&amp;A19,'By Board'!M3:M50)</f>
        <v/>
      </c>
    </row>
    <row r="20">
      <c r="A20" s="8" t="n">
        <v>4</v>
      </c>
      <c r="B20" s="9" t="inlineStr">
        <is>
          <t>Name 56</t>
        </is>
      </c>
      <c r="C20" s="9" t="inlineStr">
        <is>
          <t>Name 63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AVERAGE(Z3:AB3)</f>
        <v/>
      </c>
      <c r="M3" s="7">
        <f>AVERAGE(AC3:AE3)</f>
        <v/>
      </c>
      <c r="N3" s="6">
        <f>IF(COUNT(T3:V3)&gt;0,P3/COUNT(T3:V3),0.5)</f>
        <v/>
      </c>
      <c r="O3" s="6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AVERAGE(Z4:AB4)</f>
        <v/>
      </c>
      <c r="M4" s="7">
        <f>AVERAGE(AC4:AE4)</f>
        <v/>
      </c>
      <c r="N4" s="6">
        <f>IF(COUNT(T4:V4)&gt;0,P4/COUNT(T4:V4),0.5)</f>
        <v/>
      </c>
      <c r="O4" s="6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AVERAGE(Z5:AB5)</f>
        <v/>
      </c>
      <c r="M5" s="7">
        <f>AVERAGE(AC5:AE5)</f>
        <v/>
      </c>
      <c r="N5" s="6">
        <f>IF(COUNT(T5:V5)&gt;0,P5/COUNT(T5:V5),0.5)</f>
        <v/>
      </c>
      <c r="O5" s="6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20">
        <f>AVERAGE(Z6:AB6)</f>
        <v/>
      </c>
      <c r="M6" s="21">
        <f>AVERAGE(AC6:AE6)</f>
        <v/>
      </c>
      <c r="N6" s="22">
        <f>IF(COUNT(T6:V6)&gt;0,P6/COUNT(T6:V6),0.5)</f>
        <v/>
      </c>
      <c r="O6" s="22">
        <f>IF(COUNT(W6:Y6)&gt;0,Q6/COUNT(W6:Y6),0.5)</f>
        <v/>
      </c>
      <c r="P6" s="23">
        <f>SUM(T6:V6)</f>
        <v/>
      </c>
      <c r="Q6" s="23">
        <f>SUM(W6:Y6)</f>
        <v/>
      </c>
      <c r="R6" s="24">
        <f>IF(ISNUMBER(J6),J6,IF(ISNUMBER(K6),-K6,""))</f>
        <v/>
      </c>
      <c r="S6" s="9">
        <f>IF(ISNUMBER(K6),K6,IF(ISNUMBER(J6),-J6,""))</f>
        <v/>
      </c>
      <c r="T6" s="24">
        <f>IF(ISNUMBER(R6),IF(ISNUMBER(R3),IF(R6&gt;R3,1.0,IF(R6=R3,0.5,0.0)),""),"")</f>
        <v/>
      </c>
      <c r="U6" s="9">
        <f>IF(ISNUMBER(R6),IF(ISNUMBER(R4),IF(R6&gt;R4,1.0,IF(R6=R4,0.5,0.0)),""),"")</f>
        <v/>
      </c>
      <c r="V6" s="9">
        <f>IF(ISNUMBER(R6),IF(ISNUMBER(R5),IF(R6&gt;R5,1.0,IF(R6=R5,0.5,0.0)),""),"")</f>
        <v/>
      </c>
      <c r="W6" s="9">
        <f>IF(ISNUMBER(S6),IF(ISNUMBER(S3),IF(S6&gt;S3,1.0,IF(S6=S3,0.5,0.0)),""),"")</f>
        <v/>
      </c>
      <c r="X6" s="9">
        <f>IF(ISNUMBER(S6),IF(ISNUMBER(S4),IF(S6&gt;S4,1.0,IF(S6=S4,0.5,0.0)),""),"")</f>
        <v/>
      </c>
      <c r="Y6" s="9">
        <f>IF(ISNUMBER(S6),IF(ISNUMBER(S5),IF(S6&gt;S5,1.0,IF(S6=S5,0.5,0.0)),""),"")</f>
        <v/>
      </c>
      <c r="Z6" s="24">
        <f>IF(AND(ISNUMBER(R6),ISNUMBER(R3)),VLOOKUP(ABS(R6-R3),'IMP Table'!$A$2:$C$26,3)*SIGN(R6-R3),0)</f>
        <v/>
      </c>
      <c r="AA6" s="9">
        <f>IF(AND(ISNUMBER(R6),ISNUMBER(R4)),VLOOKUP(ABS(R6-R4),'IMP Table'!$A$2:$C$26,3)*SIGN(R6-R4),0)</f>
        <v/>
      </c>
      <c r="AB6" s="9">
        <f>IF(AND(ISNUMBER(R6),ISNUMBER(R5)),VLOOKUP(ABS(R6-R5),'IMP Table'!$A$2:$C$26,3)*SIGN(R6-R5),0)</f>
        <v/>
      </c>
      <c r="AC6" s="9">
        <f>IF(AND(ISNUMBER(S6),ISNUMBER(S3)),VLOOKUP(ABS(S6-S3),'IMP Table'!$A$2:$C$26,3)*SIGN(S6-S3),0)</f>
        <v/>
      </c>
      <c r="AD6" s="9">
        <f>IF(AND(ISNUMBER(S6),ISNUMBER(S4)),VLOOKUP(ABS(S6-S4),'IMP Table'!$A$2:$C$26,3)*SIGN(S6-S4),0)</f>
        <v/>
      </c>
      <c r="AE6" s="9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AVERAGE(Z7:AB7)</f>
        <v/>
      </c>
      <c r="M7" s="7">
        <f>AVERAGE(AC7:AE7)</f>
        <v/>
      </c>
      <c r="N7" s="6">
        <f>IF(COUNT(T7:V7)&gt;0,P7/COUNT(T7:V7),0.5)</f>
        <v/>
      </c>
      <c r="O7" s="6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AVERAGE(Z8:AB8)</f>
        <v/>
      </c>
      <c r="M8" s="7">
        <f>AVERAGE(AC8:AE8)</f>
        <v/>
      </c>
      <c r="N8" s="6">
        <f>IF(COUNT(T8:V8)&gt;0,P8/COUNT(T8:V8),0.5)</f>
        <v/>
      </c>
      <c r="O8" s="6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AVERAGE(Z9:AB9)</f>
        <v/>
      </c>
      <c r="M9" s="7">
        <f>AVERAGE(AC9:AE9)</f>
        <v/>
      </c>
      <c r="N9" s="6">
        <f>IF(COUNT(T9:V9)&gt;0,P9/COUNT(T9:V9),0.5)</f>
        <v/>
      </c>
      <c r="O9" s="6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20">
        <f>AVERAGE(Z10:AB10)</f>
        <v/>
      </c>
      <c r="M10" s="21">
        <f>AVERAGE(AC10:AE10)</f>
        <v/>
      </c>
      <c r="N10" s="22">
        <f>IF(COUNT(T10:V10)&gt;0,P10/COUNT(T10:V10),0.5)</f>
        <v/>
      </c>
      <c r="O10" s="22">
        <f>IF(COUNT(W10:Y10)&gt;0,Q10/COUNT(W10:Y10),0.5)</f>
        <v/>
      </c>
      <c r="P10" s="23">
        <f>SUM(T10:V10)</f>
        <v/>
      </c>
      <c r="Q10" s="23">
        <f>SUM(W10:Y10)</f>
        <v/>
      </c>
      <c r="R10" s="24">
        <f>IF(ISNUMBER(J10),J10,IF(ISNUMBER(K10),-K10,""))</f>
        <v/>
      </c>
      <c r="S10" s="9">
        <f>IF(ISNUMBER(K10),K10,IF(ISNUMBER(J10),-J10,""))</f>
        <v/>
      </c>
      <c r="T10" s="24">
        <f>IF(ISNUMBER(R10),IF(ISNUMBER(R7),IF(R10&gt;R7,1.0,IF(R10=R7,0.5,0.0)),""),"")</f>
        <v/>
      </c>
      <c r="U10" s="9">
        <f>IF(ISNUMBER(R10),IF(ISNUMBER(R8),IF(R10&gt;R8,1.0,IF(R10=R8,0.5,0.0)),""),"")</f>
        <v/>
      </c>
      <c r="V10" s="9">
        <f>IF(ISNUMBER(R10),IF(ISNUMBER(R9),IF(R10&gt;R9,1.0,IF(R10=R9,0.5,0.0)),""),"")</f>
        <v/>
      </c>
      <c r="W10" s="9">
        <f>IF(ISNUMBER(S10),IF(ISNUMBER(S7),IF(S10&gt;S7,1.0,IF(S10=S7,0.5,0.0)),""),"")</f>
        <v/>
      </c>
      <c r="X10" s="9">
        <f>IF(ISNUMBER(S10),IF(ISNUMBER(S8),IF(S10&gt;S8,1.0,IF(S10=S8,0.5,0.0)),""),"")</f>
        <v/>
      </c>
      <c r="Y10" s="9">
        <f>IF(ISNUMBER(S10),IF(ISNUMBER(S9),IF(S10&gt;S9,1.0,IF(S10=S9,0.5,0.0)),""),"")</f>
        <v/>
      </c>
      <c r="Z10" s="24">
        <f>IF(AND(ISNUMBER(R10),ISNUMBER(R7)),VLOOKUP(ABS(R10-R7),'IMP Table'!$A$2:$C$26,3)*SIGN(R10-R7),0)</f>
        <v/>
      </c>
      <c r="AA10" s="9">
        <f>IF(AND(ISNUMBER(R10),ISNUMBER(R8)),VLOOKUP(ABS(R10-R8),'IMP Table'!$A$2:$C$26,3)*SIGN(R10-R8),0)</f>
        <v/>
      </c>
      <c r="AB10" s="9">
        <f>IF(AND(ISNUMBER(R10),ISNUMBER(R9)),VLOOKUP(ABS(R10-R9),'IMP Table'!$A$2:$C$26,3)*SIGN(R10-R9),0)</f>
        <v/>
      </c>
      <c r="AC10" s="9">
        <f>IF(AND(ISNUMBER(S10),ISNUMBER(S7)),VLOOKUP(ABS(S10-S7),'IMP Table'!$A$2:$C$26,3)*SIGN(S10-S7),0)</f>
        <v/>
      </c>
      <c r="AD10" s="9">
        <f>IF(AND(ISNUMBER(S10),ISNUMBER(S8)),VLOOKUP(ABS(S10-S8),'IMP Table'!$A$2:$C$26,3)*SIGN(S10-S8),0)</f>
        <v/>
      </c>
      <c r="AE10" s="9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AVERAGE(Z11:AB11)</f>
        <v/>
      </c>
      <c r="M11" s="7">
        <f>AVERAGE(AC11:AE11)</f>
        <v/>
      </c>
      <c r="N11" s="6">
        <f>IF(COUNT(T11:V11)&gt;0,P11/COUNT(T11:V11),0.5)</f>
        <v/>
      </c>
      <c r="O11" s="6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AVERAGE(Z12:AB12)</f>
        <v/>
      </c>
      <c r="M12" s="7">
        <f>AVERAGE(AC12:AE12)</f>
        <v/>
      </c>
      <c r="N12" s="6">
        <f>IF(COUNT(T12:V12)&gt;0,P12/COUNT(T12:V12),0.5)</f>
        <v/>
      </c>
      <c r="O12" s="6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AVERAGE(Z13:AB13)</f>
        <v/>
      </c>
      <c r="M13" s="7">
        <f>AVERAGE(AC13:AE13)</f>
        <v/>
      </c>
      <c r="N13" s="6">
        <f>IF(COUNT(T13:V13)&gt;0,P13/COUNT(T13:V13),0.5)</f>
        <v/>
      </c>
      <c r="O13" s="6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20">
        <f>AVERAGE(Z14:AB14)</f>
        <v/>
      </c>
      <c r="M14" s="21">
        <f>AVERAGE(AC14:AE14)</f>
        <v/>
      </c>
      <c r="N14" s="22">
        <f>IF(COUNT(T14:V14)&gt;0,P14/COUNT(T14:V14),0.5)</f>
        <v/>
      </c>
      <c r="O14" s="22">
        <f>IF(COUNT(W14:Y14)&gt;0,Q14/COUNT(W14:Y14),0.5)</f>
        <v/>
      </c>
      <c r="P14" s="23">
        <f>SUM(T14:V14)</f>
        <v/>
      </c>
      <c r="Q14" s="23">
        <f>SUM(W14:Y14)</f>
        <v/>
      </c>
      <c r="R14" s="24">
        <f>IF(ISNUMBER(J14),J14,IF(ISNUMBER(K14),-K14,""))</f>
        <v/>
      </c>
      <c r="S14" s="9">
        <f>IF(ISNUMBER(K14),K14,IF(ISNUMBER(J14),-J14,""))</f>
        <v/>
      </c>
      <c r="T14" s="24">
        <f>IF(ISNUMBER(R14),IF(ISNUMBER(R11),IF(R14&gt;R11,1.0,IF(R14=R11,0.5,0.0)),""),"")</f>
        <v/>
      </c>
      <c r="U14" s="9">
        <f>IF(ISNUMBER(R14),IF(ISNUMBER(R12),IF(R14&gt;R12,1.0,IF(R14=R12,0.5,0.0)),""),"")</f>
        <v/>
      </c>
      <c r="V14" s="9">
        <f>IF(ISNUMBER(R14),IF(ISNUMBER(R13),IF(R14&gt;R13,1.0,IF(R14=R13,0.5,0.0)),""),"")</f>
        <v/>
      </c>
      <c r="W14" s="9">
        <f>IF(ISNUMBER(S14),IF(ISNUMBER(S11),IF(S14&gt;S11,1.0,IF(S14=S11,0.5,0.0)),""),"")</f>
        <v/>
      </c>
      <c r="X14" s="9">
        <f>IF(ISNUMBER(S14),IF(ISNUMBER(S12),IF(S14&gt;S12,1.0,IF(S14=S12,0.5,0.0)),""),"")</f>
        <v/>
      </c>
      <c r="Y14" s="9">
        <f>IF(ISNUMBER(S14),IF(ISNUMBER(S13),IF(S14&gt;S13,1.0,IF(S14=S13,0.5,0.0)),""),"")</f>
        <v/>
      </c>
      <c r="Z14" s="24">
        <f>IF(AND(ISNUMBER(R14),ISNUMBER(R11)),VLOOKUP(ABS(R14-R11),'IMP Table'!$A$2:$C$26,3)*SIGN(R14-R11),0)</f>
        <v/>
      </c>
      <c r="AA14" s="9">
        <f>IF(AND(ISNUMBER(R14),ISNUMBER(R12)),VLOOKUP(ABS(R14-R12),'IMP Table'!$A$2:$C$26,3)*SIGN(R14-R12),0)</f>
        <v/>
      </c>
      <c r="AB14" s="9">
        <f>IF(AND(ISNUMBER(R14),ISNUMBER(R13)),VLOOKUP(ABS(R14-R13),'IMP Table'!$A$2:$C$26,3)*SIGN(R14-R13),0)</f>
        <v/>
      </c>
      <c r="AC14" s="9">
        <f>IF(AND(ISNUMBER(S14),ISNUMBER(S11)),VLOOKUP(ABS(S14-S11),'IMP Table'!$A$2:$C$26,3)*SIGN(S14-S11),0)</f>
        <v/>
      </c>
      <c r="AD14" s="9">
        <f>IF(AND(ISNUMBER(S14),ISNUMBER(S12)),VLOOKUP(ABS(S14-S12),'IMP Table'!$A$2:$C$26,3)*SIGN(S14-S12),0)</f>
        <v/>
      </c>
      <c r="AE14" s="9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AVERAGE(Z15:AB15)</f>
        <v/>
      </c>
      <c r="M15" s="7">
        <f>AVERAGE(AC15:AE15)</f>
        <v/>
      </c>
      <c r="N15" s="6">
        <f>IF(COUNT(T15:V15)&gt;0,P15/COUNT(T15:V15),0.5)</f>
        <v/>
      </c>
      <c r="O15" s="6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AVERAGE(Z16:AB16)</f>
        <v/>
      </c>
      <c r="M16" s="7">
        <f>AVERAGE(AC16:AE16)</f>
        <v/>
      </c>
      <c r="N16" s="6">
        <f>IF(COUNT(T16:V16)&gt;0,P16/COUNT(T16:V16),0.5)</f>
        <v/>
      </c>
      <c r="O16" s="6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AVERAGE(Z17:AB17)</f>
        <v/>
      </c>
      <c r="M17" s="7">
        <f>AVERAGE(AC17:AE17)</f>
        <v/>
      </c>
      <c r="N17" s="6">
        <f>IF(COUNT(T17:V17)&gt;0,P17/COUNT(T17:V17),0.5)</f>
        <v/>
      </c>
      <c r="O17" s="6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20">
        <f>AVERAGE(Z18:AB18)</f>
        <v/>
      </c>
      <c r="M18" s="21">
        <f>AVERAGE(AC18:AE18)</f>
        <v/>
      </c>
      <c r="N18" s="22">
        <f>IF(COUNT(T18:V18)&gt;0,P18/COUNT(T18:V18),0.5)</f>
        <v/>
      </c>
      <c r="O18" s="22">
        <f>IF(COUNT(W18:Y18)&gt;0,Q18/COUNT(W18:Y18),0.5)</f>
        <v/>
      </c>
      <c r="P18" s="23">
        <f>SUM(T18:V18)</f>
        <v/>
      </c>
      <c r="Q18" s="23">
        <f>SUM(W18:Y18)</f>
        <v/>
      </c>
      <c r="R18" s="24">
        <f>IF(ISNUMBER(J18),J18,IF(ISNUMBER(K18),-K18,""))</f>
        <v/>
      </c>
      <c r="S18" s="9">
        <f>IF(ISNUMBER(K18),K18,IF(ISNUMBER(J18),-J18,""))</f>
        <v/>
      </c>
      <c r="T18" s="24">
        <f>IF(ISNUMBER(R18),IF(ISNUMBER(R15),IF(R18&gt;R15,1.0,IF(R18=R15,0.5,0.0)),""),"")</f>
        <v/>
      </c>
      <c r="U18" s="9">
        <f>IF(ISNUMBER(R18),IF(ISNUMBER(R16),IF(R18&gt;R16,1.0,IF(R18=R16,0.5,0.0)),""),"")</f>
        <v/>
      </c>
      <c r="V18" s="9">
        <f>IF(ISNUMBER(R18),IF(ISNUMBER(R17),IF(R18&gt;R17,1.0,IF(R18=R17,0.5,0.0)),""),"")</f>
        <v/>
      </c>
      <c r="W18" s="9">
        <f>IF(ISNUMBER(S18),IF(ISNUMBER(S15),IF(S18&gt;S15,1.0,IF(S18=S15,0.5,0.0)),""),"")</f>
        <v/>
      </c>
      <c r="X18" s="9">
        <f>IF(ISNUMBER(S18),IF(ISNUMBER(S16),IF(S18&gt;S16,1.0,IF(S18=S16,0.5,0.0)),""),"")</f>
        <v/>
      </c>
      <c r="Y18" s="9">
        <f>IF(ISNUMBER(S18),IF(ISNUMBER(S17),IF(S18&gt;S17,1.0,IF(S18=S17,0.5,0.0)),""),"")</f>
        <v/>
      </c>
      <c r="Z18" s="24">
        <f>IF(AND(ISNUMBER(R18),ISNUMBER(R15)),VLOOKUP(ABS(R18-R15),'IMP Table'!$A$2:$C$26,3)*SIGN(R18-R15),0)</f>
        <v/>
      </c>
      <c r="AA18" s="9">
        <f>IF(AND(ISNUMBER(R18),ISNUMBER(R16)),VLOOKUP(ABS(R18-R16),'IMP Table'!$A$2:$C$26,3)*SIGN(R18-R16),0)</f>
        <v/>
      </c>
      <c r="AB18" s="9">
        <f>IF(AND(ISNUMBER(R18),ISNUMBER(R17)),VLOOKUP(ABS(R18-R17),'IMP Table'!$A$2:$C$26,3)*SIGN(R18-R17),0)</f>
        <v/>
      </c>
      <c r="AC18" s="9">
        <f>IF(AND(ISNUMBER(S18),ISNUMBER(S15)),VLOOKUP(ABS(S18-S15),'IMP Table'!$A$2:$C$26,3)*SIGN(S18-S15),0)</f>
        <v/>
      </c>
      <c r="AD18" s="9">
        <f>IF(AND(ISNUMBER(S18),ISNUMBER(S16)),VLOOKUP(ABS(S18-S16),'IMP Table'!$A$2:$C$26,3)*SIGN(S18-S16),0)</f>
        <v/>
      </c>
      <c r="AE18" s="9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AVERAGE(Z19:AB19)</f>
        <v/>
      </c>
      <c r="M19" s="7">
        <f>AVERAGE(AC19:AE19)</f>
        <v/>
      </c>
      <c r="N19" s="6">
        <f>IF(COUNT(T19:V19)&gt;0,P19/COUNT(T19:V19),0.5)</f>
        <v/>
      </c>
      <c r="O19" s="6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AVERAGE(Z20:AB20)</f>
        <v/>
      </c>
      <c r="M20" s="7">
        <f>AVERAGE(AC20:AE20)</f>
        <v/>
      </c>
      <c r="N20" s="6">
        <f>IF(COUNT(T20:V20)&gt;0,P20/COUNT(T20:V20),0.5)</f>
        <v/>
      </c>
      <c r="O20" s="6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AVERAGE(Z21:AB21)</f>
        <v/>
      </c>
      <c r="M21" s="7">
        <f>AVERAGE(AC21:AE21)</f>
        <v/>
      </c>
      <c r="N21" s="6">
        <f>IF(COUNT(T21:V21)&gt;0,P21/COUNT(T21:V21),0.5)</f>
        <v/>
      </c>
      <c r="O21" s="6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20">
        <f>AVERAGE(Z22:AB22)</f>
        <v/>
      </c>
      <c r="M22" s="21">
        <f>AVERAGE(AC22:AE22)</f>
        <v/>
      </c>
      <c r="N22" s="22">
        <f>IF(COUNT(T22:V22)&gt;0,P22/COUNT(T22:V22),0.5)</f>
        <v/>
      </c>
      <c r="O22" s="22">
        <f>IF(COUNT(W22:Y22)&gt;0,Q22/COUNT(W22:Y22),0.5)</f>
        <v/>
      </c>
      <c r="P22" s="23">
        <f>SUM(T22:V22)</f>
        <v/>
      </c>
      <c r="Q22" s="23">
        <f>SUM(W22:Y22)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IF(ISNUMBER(R22),IF(ISNUMBER(R19),IF(R22&gt;R19,1.0,IF(R22=R19,0.5,0.0)),""),"")</f>
        <v/>
      </c>
      <c r="U22" s="9">
        <f>IF(ISNUMBER(R22),IF(ISNUMBER(R20),IF(R22&gt;R20,1.0,IF(R22=R20,0.5,0.0)),""),"")</f>
        <v/>
      </c>
      <c r="V22" s="9">
        <f>IF(ISNUMBER(R22),IF(ISNUMBER(R21),IF(R22&gt;R21,1.0,IF(R22=R21,0.5,0.0)),""),"")</f>
        <v/>
      </c>
      <c r="W22" s="9">
        <f>IF(ISNUMBER(S22),IF(ISNUMBER(S19),IF(S22&gt;S19,1.0,IF(S22=S19,0.5,0.0)),""),"")</f>
        <v/>
      </c>
      <c r="X22" s="9">
        <f>IF(ISNUMBER(S22),IF(ISNUMBER(S20),IF(S22&gt;S20,1.0,IF(S22=S20,0.5,0.0)),""),"")</f>
        <v/>
      </c>
      <c r="Y22" s="9">
        <f>IF(ISNUMBER(S22),IF(ISNUMBER(S21),IF(S22&gt;S21,1.0,IF(S22=S21,0.5,0.0)),""),"")</f>
        <v/>
      </c>
      <c r="Z22" s="24">
        <f>IF(AND(ISNUMBER(R22),ISNUMBER(R19)),VLOOKUP(ABS(R22-R19),'IMP Table'!$A$2:$C$26,3)*SIGN(R22-R19),0)</f>
        <v/>
      </c>
      <c r="AA22" s="9">
        <f>IF(AND(ISNUMBER(R22),ISNUMBER(R20)),VLOOKUP(ABS(R22-R20),'IMP Table'!$A$2:$C$26,3)*SIGN(R22-R20),0)</f>
        <v/>
      </c>
      <c r="AB22" s="9">
        <f>IF(AND(ISNUMBER(R22),ISNUMBER(R21)),VLOOKUP(ABS(R22-R21),'IMP Table'!$A$2:$C$26,3)*SIGN(R22-R21),0)</f>
        <v/>
      </c>
      <c r="AC22" s="9">
        <f>IF(AND(ISNUMBER(S22),ISNUMBER(S19)),VLOOKUP(ABS(S22-S19),'IMP Table'!$A$2:$C$26,3)*SIGN(S22-S19),0)</f>
        <v/>
      </c>
      <c r="AD22" s="9">
        <f>IF(AND(ISNUMBER(S22),ISNUMBER(S20)),VLOOKUP(ABS(S22-S20),'IMP Table'!$A$2:$C$26,3)*SIGN(S22-S20),0)</f>
        <v/>
      </c>
      <c r="AE22" s="9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AVERAGE(Z23:AB23)</f>
        <v/>
      </c>
      <c r="M23" s="7">
        <f>AVERAGE(AC23:AE23)</f>
        <v/>
      </c>
      <c r="N23" s="6">
        <f>IF(COUNT(T23:V23)&gt;0,P23/COUNT(T23:V23),0.5)</f>
        <v/>
      </c>
      <c r="O23" s="6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AVERAGE(Z24:AB24)</f>
        <v/>
      </c>
      <c r="M24" s="7">
        <f>AVERAGE(AC24:AE24)</f>
        <v/>
      </c>
      <c r="N24" s="6">
        <f>IF(COUNT(T24:V24)&gt;0,P24/COUNT(T24:V24),0.5)</f>
        <v/>
      </c>
      <c r="O24" s="6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AVERAGE(Z25:AB25)</f>
        <v/>
      </c>
      <c r="M25" s="7">
        <f>AVERAGE(AC25:AE25)</f>
        <v/>
      </c>
      <c r="N25" s="6">
        <f>IF(COUNT(T25:V25)&gt;0,P25/COUNT(T25:V25),0.5)</f>
        <v/>
      </c>
      <c r="O25" s="6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20">
        <f>AVERAGE(Z26:AB26)</f>
        <v/>
      </c>
      <c r="M26" s="21">
        <f>AVERAGE(AC26:AE26)</f>
        <v/>
      </c>
      <c r="N26" s="22">
        <f>IF(COUNT(T26:V26)&gt;0,P26/COUNT(T26:V26),0.5)</f>
        <v/>
      </c>
      <c r="O26" s="22">
        <f>IF(COUNT(W26:Y26)&gt;0,Q26/COUNT(W26:Y26),0.5)</f>
        <v/>
      </c>
      <c r="P26" s="23">
        <f>SUM(T26:V26)</f>
        <v/>
      </c>
      <c r="Q26" s="23">
        <f>SUM(W26:Y26)</f>
        <v/>
      </c>
      <c r="R26" s="24">
        <f>IF(ISNUMBER(J26),J26,IF(ISNUMBER(K26),-K26,""))</f>
        <v/>
      </c>
      <c r="S26" s="9">
        <f>IF(ISNUMBER(K26),K26,IF(ISNUMBER(J26),-J26,""))</f>
        <v/>
      </c>
      <c r="T26" s="24">
        <f>IF(ISNUMBER(R26),IF(ISNUMBER(R23),IF(R26&gt;R23,1.0,IF(R26=R23,0.5,0.0)),""),"")</f>
        <v/>
      </c>
      <c r="U26" s="9">
        <f>IF(ISNUMBER(R26),IF(ISNUMBER(R24),IF(R26&gt;R24,1.0,IF(R26=R24,0.5,0.0)),""),"")</f>
        <v/>
      </c>
      <c r="V26" s="9">
        <f>IF(ISNUMBER(R26),IF(ISNUMBER(R25),IF(R26&gt;R25,1.0,IF(R26=R25,0.5,0.0)),""),"")</f>
        <v/>
      </c>
      <c r="W26" s="9">
        <f>IF(ISNUMBER(S26),IF(ISNUMBER(S23),IF(S26&gt;S23,1.0,IF(S26=S23,0.5,0.0)),""),"")</f>
        <v/>
      </c>
      <c r="X26" s="9">
        <f>IF(ISNUMBER(S26),IF(ISNUMBER(S24),IF(S26&gt;S24,1.0,IF(S26=S24,0.5,0.0)),""),"")</f>
        <v/>
      </c>
      <c r="Y26" s="9">
        <f>IF(ISNUMBER(S26),IF(ISNUMBER(S25),IF(S26&gt;S25,1.0,IF(S26=S25,0.5,0.0)),""),"")</f>
        <v/>
      </c>
      <c r="Z26" s="24">
        <f>IF(AND(ISNUMBER(R26),ISNUMBER(R23)),VLOOKUP(ABS(R26-R23),'IMP Table'!$A$2:$C$26,3)*SIGN(R26-R23),0)</f>
        <v/>
      </c>
      <c r="AA26" s="9">
        <f>IF(AND(ISNUMBER(R26),ISNUMBER(R24)),VLOOKUP(ABS(R26-R24),'IMP Table'!$A$2:$C$26,3)*SIGN(R26-R24),0)</f>
        <v/>
      </c>
      <c r="AB26" s="9">
        <f>IF(AND(ISNUMBER(R26),ISNUMBER(R25)),VLOOKUP(ABS(R26-R25),'IMP Table'!$A$2:$C$26,3)*SIGN(R26-R25),0)</f>
        <v/>
      </c>
      <c r="AC26" s="9">
        <f>IF(AND(ISNUMBER(S26),ISNUMBER(S23)),VLOOKUP(ABS(S26-S23),'IMP Table'!$A$2:$C$26,3)*SIGN(S26-S23),0)</f>
        <v/>
      </c>
      <c r="AD26" s="9">
        <f>IF(AND(ISNUMBER(S26),ISNUMBER(S24)),VLOOKUP(ABS(S26-S24),'IMP Table'!$A$2:$C$26,3)*SIGN(S26-S24),0)</f>
        <v/>
      </c>
      <c r="AE26" s="9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AVERAGE(Z27:AB27)</f>
        <v/>
      </c>
      <c r="M27" s="7">
        <f>AVERAGE(AC27:AE27)</f>
        <v/>
      </c>
      <c r="N27" s="6">
        <f>IF(COUNT(T27:V27)&gt;0,P27/COUNT(T27:V27),0.5)</f>
        <v/>
      </c>
      <c r="O27" s="6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AVERAGE(Z28:AB28)</f>
        <v/>
      </c>
      <c r="M28" s="7">
        <f>AVERAGE(AC28:AE28)</f>
        <v/>
      </c>
      <c r="N28" s="6">
        <f>IF(COUNT(T28:V28)&gt;0,P28/COUNT(T28:V28),0.5)</f>
        <v/>
      </c>
      <c r="O28" s="6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AVERAGE(Z29:AB29)</f>
        <v/>
      </c>
      <c r="M29" s="7">
        <f>AVERAGE(AC29:AE29)</f>
        <v/>
      </c>
      <c r="N29" s="6">
        <f>IF(COUNT(T29:V29)&gt;0,P29/COUNT(T29:V29),0.5)</f>
        <v/>
      </c>
      <c r="O29" s="6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20">
        <f>AVERAGE(Z30:AB30)</f>
        <v/>
      </c>
      <c r="M30" s="21">
        <f>AVERAGE(AC30:AE30)</f>
        <v/>
      </c>
      <c r="N30" s="22">
        <f>IF(COUNT(T30:V30)&gt;0,P30/COUNT(T30:V30),0.5)</f>
        <v/>
      </c>
      <c r="O30" s="22">
        <f>IF(COUNT(W30:Y30)&gt;0,Q30/COUNT(W30:Y30),0.5)</f>
        <v/>
      </c>
      <c r="P30" s="23">
        <f>SUM(T30:V30)</f>
        <v/>
      </c>
      <c r="Q30" s="23">
        <f>SUM(W30:Y30)</f>
        <v/>
      </c>
      <c r="R30" s="24">
        <f>IF(ISNUMBER(J30),J30,IF(ISNUMBER(K30),-K30,""))</f>
        <v/>
      </c>
      <c r="S30" s="9">
        <f>IF(ISNUMBER(K30),K30,IF(ISNUMBER(J30),-J30,""))</f>
        <v/>
      </c>
      <c r="T30" s="24">
        <f>IF(ISNUMBER(R30),IF(ISNUMBER(R27),IF(R30&gt;R27,1.0,IF(R30=R27,0.5,0.0)),""),"")</f>
        <v/>
      </c>
      <c r="U30" s="9">
        <f>IF(ISNUMBER(R30),IF(ISNUMBER(R28),IF(R30&gt;R28,1.0,IF(R30=R28,0.5,0.0)),""),"")</f>
        <v/>
      </c>
      <c r="V30" s="9">
        <f>IF(ISNUMBER(R30),IF(ISNUMBER(R29),IF(R30&gt;R29,1.0,IF(R30=R29,0.5,0.0)),""),"")</f>
        <v/>
      </c>
      <c r="W30" s="9">
        <f>IF(ISNUMBER(S30),IF(ISNUMBER(S27),IF(S30&gt;S27,1.0,IF(S30=S27,0.5,0.0)),""),"")</f>
        <v/>
      </c>
      <c r="X30" s="9">
        <f>IF(ISNUMBER(S30),IF(ISNUMBER(S28),IF(S30&gt;S28,1.0,IF(S30=S28,0.5,0.0)),""),"")</f>
        <v/>
      </c>
      <c r="Y30" s="9">
        <f>IF(ISNUMBER(S30),IF(ISNUMBER(S29),IF(S30&gt;S29,1.0,IF(S30=S29,0.5,0.0)),""),"")</f>
        <v/>
      </c>
      <c r="Z30" s="24">
        <f>IF(AND(ISNUMBER(R30),ISNUMBER(R27)),VLOOKUP(ABS(R30-R27),'IMP Table'!$A$2:$C$26,3)*SIGN(R30-R27),0)</f>
        <v/>
      </c>
      <c r="AA30" s="9">
        <f>IF(AND(ISNUMBER(R30),ISNUMBER(R28)),VLOOKUP(ABS(R30-R28),'IMP Table'!$A$2:$C$26,3)*SIGN(R30-R28),0)</f>
        <v/>
      </c>
      <c r="AB30" s="9">
        <f>IF(AND(ISNUMBER(R30),ISNUMBER(R29)),VLOOKUP(ABS(R30-R29),'IMP Table'!$A$2:$C$26,3)*SIGN(R30-R29),0)</f>
        <v/>
      </c>
      <c r="AC30" s="9">
        <f>IF(AND(ISNUMBER(S30),ISNUMBER(S27)),VLOOKUP(ABS(S30-S27),'IMP Table'!$A$2:$C$26,3)*SIGN(S30-S27),0)</f>
        <v/>
      </c>
      <c r="AD30" s="9">
        <f>IF(AND(ISNUMBER(S30),ISNUMBER(S28)),VLOOKUP(ABS(S30-S28),'IMP Table'!$A$2:$C$26,3)*SIGN(S30-S28),0)</f>
        <v/>
      </c>
      <c r="AE30" s="9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AVERAGE(Z31:AB31)</f>
        <v/>
      </c>
      <c r="M31" s="7">
        <f>AVERAGE(AC31:AE31)</f>
        <v/>
      </c>
      <c r="N31" s="6">
        <f>IF(COUNT(T31:V31)&gt;0,P31/COUNT(T31:V31),0.5)</f>
        <v/>
      </c>
      <c r="O31" s="6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AVERAGE(Z32:AB32)</f>
        <v/>
      </c>
      <c r="M32" s="7">
        <f>AVERAGE(AC32:AE32)</f>
        <v/>
      </c>
      <c r="N32" s="6">
        <f>IF(COUNT(T32:V32)&gt;0,P32/COUNT(T32:V32),0.5)</f>
        <v/>
      </c>
      <c r="O32" s="6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AVERAGE(Z33:AB33)</f>
        <v/>
      </c>
      <c r="M33" s="7">
        <f>AVERAGE(AC33:AE33)</f>
        <v/>
      </c>
      <c r="N33" s="6">
        <f>IF(COUNT(T33:V33)&gt;0,P33/COUNT(T33:V33),0.5)</f>
        <v/>
      </c>
      <c r="O33" s="6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20">
        <f>AVERAGE(Z34:AB34)</f>
        <v/>
      </c>
      <c r="M34" s="21">
        <f>AVERAGE(AC34:AE34)</f>
        <v/>
      </c>
      <c r="N34" s="22">
        <f>IF(COUNT(T34:V34)&gt;0,P34/COUNT(T34:V34),0.5)</f>
        <v/>
      </c>
      <c r="O34" s="22">
        <f>IF(COUNT(W34:Y34)&gt;0,Q34/COUNT(W34:Y34),0.5)</f>
        <v/>
      </c>
      <c r="P34" s="23">
        <f>SUM(T34:V34)</f>
        <v/>
      </c>
      <c r="Q34" s="23">
        <f>SUM(W34:Y34)</f>
        <v/>
      </c>
      <c r="R34" s="24">
        <f>IF(ISNUMBER(J34),J34,IF(ISNUMBER(K34),-K34,""))</f>
        <v/>
      </c>
      <c r="S34" s="9">
        <f>IF(ISNUMBER(K34),K34,IF(ISNUMBER(J34),-J34,""))</f>
        <v/>
      </c>
      <c r="T34" s="24">
        <f>IF(ISNUMBER(R34),IF(ISNUMBER(R31),IF(R34&gt;R31,1.0,IF(R34=R31,0.5,0.0)),""),"")</f>
        <v/>
      </c>
      <c r="U34" s="9">
        <f>IF(ISNUMBER(R34),IF(ISNUMBER(R32),IF(R34&gt;R32,1.0,IF(R34=R32,0.5,0.0)),""),"")</f>
        <v/>
      </c>
      <c r="V34" s="9">
        <f>IF(ISNUMBER(R34),IF(ISNUMBER(R33),IF(R34&gt;R33,1.0,IF(R34=R33,0.5,0.0)),""),"")</f>
        <v/>
      </c>
      <c r="W34" s="9">
        <f>IF(ISNUMBER(S34),IF(ISNUMBER(S31),IF(S34&gt;S31,1.0,IF(S34=S31,0.5,0.0)),""),"")</f>
        <v/>
      </c>
      <c r="X34" s="9">
        <f>IF(ISNUMBER(S34),IF(ISNUMBER(S32),IF(S34&gt;S32,1.0,IF(S34=S32,0.5,0.0)),""),"")</f>
        <v/>
      </c>
      <c r="Y34" s="9">
        <f>IF(ISNUMBER(S34),IF(ISNUMBER(S33),IF(S34&gt;S33,1.0,IF(S34=S33,0.5,0.0)),""),"")</f>
        <v/>
      </c>
      <c r="Z34" s="24">
        <f>IF(AND(ISNUMBER(R34),ISNUMBER(R31)),VLOOKUP(ABS(R34-R31),'IMP Table'!$A$2:$C$26,3)*SIGN(R34-R31),0)</f>
        <v/>
      </c>
      <c r="AA34" s="9">
        <f>IF(AND(ISNUMBER(R34),ISNUMBER(R32)),VLOOKUP(ABS(R34-R32),'IMP Table'!$A$2:$C$26,3)*SIGN(R34-R32),0)</f>
        <v/>
      </c>
      <c r="AB34" s="9">
        <f>IF(AND(ISNUMBER(R34),ISNUMBER(R33)),VLOOKUP(ABS(R34-R33),'IMP Table'!$A$2:$C$26,3)*SIGN(R34-R33),0)</f>
        <v/>
      </c>
      <c r="AC34" s="9">
        <f>IF(AND(ISNUMBER(S34),ISNUMBER(S31)),VLOOKUP(ABS(S34-S31),'IMP Table'!$A$2:$C$26,3)*SIGN(S34-S31),0)</f>
        <v/>
      </c>
      <c r="AD34" s="9">
        <f>IF(AND(ISNUMBER(S34),ISNUMBER(S32)),VLOOKUP(ABS(S34-S32),'IMP Table'!$A$2:$C$26,3)*SIGN(S34-S32),0)</f>
        <v/>
      </c>
      <c r="AE34" s="9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AVERAGE(Z35:AB35)</f>
        <v/>
      </c>
      <c r="M35" s="7">
        <f>AVERAGE(AC35:AE35)</f>
        <v/>
      </c>
      <c r="N35" s="6">
        <f>IF(COUNT(T35:V35)&gt;0,P35/COUNT(T35:V35),0.5)</f>
        <v/>
      </c>
      <c r="O35" s="6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AVERAGE(Z36:AB36)</f>
        <v/>
      </c>
      <c r="M36" s="7">
        <f>AVERAGE(AC36:AE36)</f>
        <v/>
      </c>
      <c r="N36" s="6">
        <f>IF(COUNT(T36:V36)&gt;0,P36/COUNT(T36:V36),0.5)</f>
        <v/>
      </c>
      <c r="O36" s="6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AVERAGE(Z37:AB37)</f>
        <v/>
      </c>
      <c r="M37" s="7">
        <f>AVERAGE(AC37:AE37)</f>
        <v/>
      </c>
      <c r="N37" s="6">
        <f>IF(COUNT(T37:V37)&gt;0,P37/COUNT(T37:V37),0.5)</f>
        <v/>
      </c>
      <c r="O37" s="6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20">
        <f>AVERAGE(Z38:AB38)</f>
        <v/>
      </c>
      <c r="M38" s="21">
        <f>AVERAGE(AC38:AE38)</f>
        <v/>
      </c>
      <c r="N38" s="22">
        <f>IF(COUNT(T38:V38)&gt;0,P38/COUNT(T38:V38),0.5)</f>
        <v/>
      </c>
      <c r="O38" s="22">
        <f>IF(COUNT(W38:Y38)&gt;0,Q38/COUNT(W38:Y38),0.5)</f>
        <v/>
      </c>
      <c r="P38" s="23">
        <f>SUM(T38:V38)</f>
        <v/>
      </c>
      <c r="Q38" s="23">
        <f>SUM(W38:Y38)</f>
        <v/>
      </c>
      <c r="R38" s="24">
        <f>IF(ISNUMBER(J38),J38,IF(ISNUMBER(K38),-K38,""))</f>
        <v/>
      </c>
      <c r="S38" s="9">
        <f>IF(ISNUMBER(K38),K38,IF(ISNUMBER(J38),-J38,""))</f>
        <v/>
      </c>
      <c r="T38" s="24">
        <f>IF(ISNUMBER(R38),IF(ISNUMBER(R35),IF(R38&gt;R35,1.0,IF(R38=R35,0.5,0.0)),""),"")</f>
        <v/>
      </c>
      <c r="U38" s="9">
        <f>IF(ISNUMBER(R38),IF(ISNUMBER(R36),IF(R38&gt;R36,1.0,IF(R38=R36,0.5,0.0)),""),"")</f>
        <v/>
      </c>
      <c r="V38" s="9">
        <f>IF(ISNUMBER(R38),IF(ISNUMBER(R37),IF(R38&gt;R37,1.0,IF(R38=R37,0.5,0.0)),""),"")</f>
        <v/>
      </c>
      <c r="W38" s="9">
        <f>IF(ISNUMBER(S38),IF(ISNUMBER(S35),IF(S38&gt;S35,1.0,IF(S38=S35,0.5,0.0)),""),"")</f>
        <v/>
      </c>
      <c r="X38" s="9">
        <f>IF(ISNUMBER(S38),IF(ISNUMBER(S36),IF(S38&gt;S36,1.0,IF(S38=S36,0.5,0.0)),""),"")</f>
        <v/>
      </c>
      <c r="Y38" s="9">
        <f>IF(ISNUMBER(S38),IF(ISNUMBER(S37),IF(S38&gt;S37,1.0,IF(S38=S37,0.5,0.0)),""),"")</f>
        <v/>
      </c>
      <c r="Z38" s="24">
        <f>IF(AND(ISNUMBER(R38),ISNUMBER(R35)),VLOOKUP(ABS(R38-R35),'IMP Table'!$A$2:$C$26,3)*SIGN(R38-R35),0)</f>
        <v/>
      </c>
      <c r="AA38" s="9">
        <f>IF(AND(ISNUMBER(R38),ISNUMBER(R36)),VLOOKUP(ABS(R38-R36),'IMP Table'!$A$2:$C$26,3)*SIGN(R38-R36),0)</f>
        <v/>
      </c>
      <c r="AB38" s="9">
        <f>IF(AND(ISNUMBER(R38),ISNUMBER(R37)),VLOOKUP(ABS(R38-R37),'IMP Table'!$A$2:$C$26,3)*SIGN(R38-R37),0)</f>
        <v/>
      </c>
      <c r="AC38" s="9">
        <f>IF(AND(ISNUMBER(S38),ISNUMBER(S35)),VLOOKUP(ABS(S38-S35),'IMP Table'!$A$2:$C$26,3)*SIGN(S38-S35),0)</f>
        <v/>
      </c>
      <c r="AD38" s="9">
        <f>IF(AND(ISNUMBER(S38),ISNUMBER(S36)),VLOOKUP(ABS(S38-S36),'IMP Table'!$A$2:$C$26,3)*SIGN(S38-S36),0)</f>
        <v/>
      </c>
      <c r="AE38" s="9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AVERAGE(Z39:AB39)</f>
        <v/>
      </c>
      <c r="M39" s="7">
        <f>AVERAGE(AC39:AE39)</f>
        <v/>
      </c>
      <c r="N39" s="6">
        <f>IF(COUNT(T39:V39)&gt;0,P39/COUNT(T39:V39),0.5)</f>
        <v/>
      </c>
      <c r="O39" s="6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AVERAGE(Z40:AB40)</f>
        <v/>
      </c>
      <c r="M40" s="7">
        <f>AVERAGE(AC40:AE40)</f>
        <v/>
      </c>
      <c r="N40" s="6">
        <f>IF(COUNT(T40:V40)&gt;0,P40/COUNT(T40:V40),0.5)</f>
        <v/>
      </c>
      <c r="O40" s="6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AVERAGE(Z41:AB41)</f>
        <v/>
      </c>
      <c r="M41" s="7">
        <f>AVERAGE(AC41:AE41)</f>
        <v/>
      </c>
      <c r="N41" s="6">
        <f>IF(COUNT(T41:V41)&gt;0,P41/COUNT(T41:V41),0.5)</f>
        <v/>
      </c>
      <c r="O41" s="6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20">
        <f>AVERAGE(Z42:AB42)</f>
        <v/>
      </c>
      <c r="M42" s="21">
        <f>AVERAGE(AC42:AE42)</f>
        <v/>
      </c>
      <c r="N42" s="22">
        <f>IF(COUNT(T42:V42)&gt;0,P42/COUNT(T42:V42),0.5)</f>
        <v/>
      </c>
      <c r="O42" s="22">
        <f>IF(COUNT(W42:Y42)&gt;0,Q42/COUNT(W42:Y42),0.5)</f>
        <v/>
      </c>
      <c r="P42" s="23">
        <f>SUM(T42:V42)</f>
        <v/>
      </c>
      <c r="Q42" s="23">
        <f>SUM(W42:Y42)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IF(ISNUMBER(R42),IF(ISNUMBER(R39),IF(R42&gt;R39,1.0,IF(R42=R39,0.5,0.0)),""),"")</f>
        <v/>
      </c>
      <c r="U42" s="9">
        <f>IF(ISNUMBER(R42),IF(ISNUMBER(R40),IF(R42&gt;R40,1.0,IF(R42=R40,0.5,0.0)),""),"")</f>
        <v/>
      </c>
      <c r="V42" s="9">
        <f>IF(ISNUMBER(R42),IF(ISNUMBER(R41),IF(R42&gt;R41,1.0,IF(R42=R41,0.5,0.0)),""),"")</f>
        <v/>
      </c>
      <c r="W42" s="9">
        <f>IF(ISNUMBER(S42),IF(ISNUMBER(S39),IF(S42&gt;S39,1.0,IF(S42=S39,0.5,0.0)),""),"")</f>
        <v/>
      </c>
      <c r="X42" s="9">
        <f>IF(ISNUMBER(S42),IF(ISNUMBER(S40),IF(S42&gt;S40,1.0,IF(S42=S40,0.5,0.0)),""),"")</f>
        <v/>
      </c>
      <c r="Y42" s="9">
        <f>IF(ISNUMBER(S42),IF(ISNUMBER(S41),IF(S42&gt;S41,1.0,IF(S42=S41,0.5,0.0)),""),"")</f>
        <v/>
      </c>
      <c r="Z42" s="24">
        <f>IF(AND(ISNUMBER(R42),ISNUMBER(R39)),VLOOKUP(ABS(R42-R39),'IMP Table'!$A$2:$C$26,3)*SIGN(R42-R39),0)</f>
        <v/>
      </c>
      <c r="AA42" s="9">
        <f>IF(AND(ISNUMBER(R42),ISNUMBER(R40)),VLOOKUP(ABS(R42-R40),'IMP Table'!$A$2:$C$26,3)*SIGN(R42-R40),0)</f>
        <v/>
      </c>
      <c r="AB42" s="9">
        <f>IF(AND(ISNUMBER(R42),ISNUMBER(R41)),VLOOKUP(ABS(R42-R41),'IMP Table'!$A$2:$C$26,3)*SIGN(R42-R41),0)</f>
        <v/>
      </c>
      <c r="AC42" s="9">
        <f>IF(AND(ISNUMBER(S42),ISNUMBER(S39)),VLOOKUP(ABS(S42-S39),'IMP Table'!$A$2:$C$26,3)*SIGN(S42-S39),0)</f>
        <v/>
      </c>
      <c r="AD42" s="9">
        <f>IF(AND(ISNUMBER(S42),ISNUMBER(S40)),VLOOKUP(ABS(S42-S40),'IMP Table'!$A$2:$C$26,3)*SIGN(S42-S40),0)</f>
        <v/>
      </c>
      <c r="AE42" s="9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AVERAGE(Z43:AB43)</f>
        <v/>
      </c>
      <c r="M43" s="7">
        <f>AVERAGE(AC43:AE43)</f>
        <v/>
      </c>
      <c r="N43" s="6">
        <f>IF(COUNT(T43:V43)&gt;0,P43/COUNT(T43:V43),0.5)</f>
        <v/>
      </c>
      <c r="O43" s="6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AVERAGE(Z44:AB44)</f>
        <v/>
      </c>
      <c r="M44" s="7">
        <f>AVERAGE(AC44:AE44)</f>
        <v/>
      </c>
      <c r="N44" s="6">
        <f>IF(COUNT(T44:V44)&gt;0,P44/COUNT(T44:V44),0.5)</f>
        <v/>
      </c>
      <c r="O44" s="6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AVERAGE(Z45:AB45)</f>
        <v/>
      </c>
      <c r="M45" s="7">
        <f>AVERAGE(AC45:AE45)</f>
        <v/>
      </c>
      <c r="N45" s="6">
        <f>IF(COUNT(T45:V45)&gt;0,P45/COUNT(T45:V45),0.5)</f>
        <v/>
      </c>
      <c r="O45" s="6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20">
        <f>AVERAGE(Z46:AB46)</f>
        <v/>
      </c>
      <c r="M46" s="21">
        <f>AVERAGE(AC46:AE46)</f>
        <v/>
      </c>
      <c r="N46" s="22">
        <f>IF(COUNT(T46:V46)&gt;0,P46/COUNT(T46:V46),0.5)</f>
        <v/>
      </c>
      <c r="O46" s="22">
        <f>IF(COUNT(W46:Y46)&gt;0,Q46/COUNT(W46:Y46),0.5)</f>
        <v/>
      </c>
      <c r="P46" s="23">
        <f>SUM(T46:V46)</f>
        <v/>
      </c>
      <c r="Q46" s="23">
        <f>SUM(W46:Y46)</f>
        <v/>
      </c>
      <c r="R46" s="24">
        <f>IF(ISNUMBER(J46),J46,IF(ISNUMBER(K46),-K46,""))</f>
        <v/>
      </c>
      <c r="S46" s="9">
        <f>IF(ISNUMBER(K46),K46,IF(ISNUMBER(J46),-J46,""))</f>
        <v/>
      </c>
      <c r="T46" s="24">
        <f>IF(ISNUMBER(R46),IF(ISNUMBER(R43),IF(R46&gt;R43,1.0,IF(R46=R43,0.5,0.0)),""),"")</f>
        <v/>
      </c>
      <c r="U46" s="9">
        <f>IF(ISNUMBER(R46),IF(ISNUMBER(R44),IF(R46&gt;R44,1.0,IF(R46=R44,0.5,0.0)),""),"")</f>
        <v/>
      </c>
      <c r="V46" s="9">
        <f>IF(ISNUMBER(R46),IF(ISNUMBER(R45),IF(R46&gt;R45,1.0,IF(R46=R45,0.5,0.0)),""),"")</f>
        <v/>
      </c>
      <c r="W46" s="9">
        <f>IF(ISNUMBER(S46),IF(ISNUMBER(S43),IF(S46&gt;S43,1.0,IF(S46=S43,0.5,0.0)),""),"")</f>
        <v/>
      </c>
      <c r="X46" s="9">
        <f>IF(ISNUMBER(S46),IF(ISNUMBER(S44),IF(S46&gt;S44,1.0,IF(S46=S44,0.5,0.0)),""),"")</f>
        <v/>
      </c>
      <c r="Y46" s="9">
        <f>IF(ISNUMBER(S46),IF(ISNUMBER(S45),IF(S46&gt;S45,1.0,IF(S46=S45,0.5,0.0)),""),"")</f>
        <v/>
      </c>
      <c r="Z46" s="24">
        <f>IF(AND(ISNUMBER(R46),ISNUMBER(R43)),VLOOKUP(ABS(R46-R43),'IMP Table'!$A$2:$C$26,3)*SIGN(R46-R43),0)</f>
        <v/>
      </c>
      <c r="AA46" s="9">
        <f>IF(AND(ISNUMBER(R46),ISNUMBER(R44)),VLOOKUP(ABS(R46-R44),'IMP Table'!$A$2:$C$26,3)*SIGN(R46-R44),0)</f>
        <v/>
      </c>
      <c r="AB46" s="9">
        <f>IF(AND(ISNUMBER(R46),ISNUMBER(R45)),VLOOKUP(ABS(R46-R45),'IMP Table'!$A$2:$C$26,3)*SIGN(R46-R45),0)</f>
        <v/>
      </c>
      <c r="AC46" s="9">
        <f>IF(AND(ISNUMBER(S46),ISNUMBER(S43)),VLOOKUP(ABS(S46-S43),'IMP Table'!$A$2:$C$26,3)*SIGN(S46-S43),0)</f>
        <v/>
      </c>
      <c r="AD46" s="9">
        <f>IF(AND(ISNUMBER(S46),ISNUMBER(S44)),VLOOKUP(ABS(S46-S44),'IMP Table'!$A$2:$C$26,3)*SIGN(S46-S44),0)</f>
        <v/>
      </c>
      <c r="AE46" s="9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AVERAGE(Z47:AB47)</f>
        <v/>
      </c>
      <c r="M47" s="7">
        <f>AVERAGE(AC47:AE47)</f>
        <v/>
      </c>
      <c r="N47" s="6">
        <f>IF(COUNT(T47:V47)&gt;0,P47/COUNT(T47:V47),0.5)</f>
        <v/>
      </c>
      <c r="O47" s="6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AVERAGE(Z48:AB48)</f>
        <v/>
      </c>
      <c r="M48" s="7">
        <f>AVERAGE(AC48:AE48)</f>
        <v/>
      </c>
      <c r="N48" s="6">
        <f>IF(COUNT(T48:V48)&gt;0,P48/COUNT(T48:V48),0.5)</f>
        <v/>
      </c>
      <c r="O48" s="6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AVERAGE(Z49:AB49)</f>
        <v/>
      </c>
      <c r="M49" s="7">
        <f>AVERAGE(AC49:AE49)</f>
        <v/>
      </c>
      <c r="N49" s="6">
        <f>IF(COUNT(T49:V49)&gt;0,P49/COUNT(T49:V49),0.5)</f>
        <v/>
      </c>
      <c r="O49" s="6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20">
        <f>AVERAGE(Z50:AB50)</f>
        <v/>
      </c>
      <c r="M50" s="21">
        <f>AVERAGE(AC50:AE50)</f>
        <v/>
      </c>
      <c r="N50" s="22">
        <f>IF(COUNT(T50:V50)&gt;0,P50/COUNT(T50:V50),0.5)</f>
        <v/>
      </c>
      <c r="O50" s="22">
        <f>IF(COUNT(W50:Y50)&gt;0,Q50/COUNT(W50:Y50),0.5)</f>
        <v/>
      </c>
      <c r="P50" s="23">
        <f>SUM(T50:V50)</f>
        <v/>
      </c>
      <c r="Q50" s="23">
        <f>SUM(W50:Y50)</f>
        <v/>
      </c>
      <c r="R50" s="24">
        <f>IF(ISNUMBER(J50),J50,IF(ISNUMBER(K50),-K50,""))</f>
        <v/>
      </c>
      <c r="S50" s="9">
        <f>IF(ISNUMBER(K50),K50,IF(ISNUMBER(J50),-J50,""))</f>
        <v/>
      </c>
      <c r="T50" s="24">
        <f>IF(ISNUMBER(R50),IF(ISNUMBER(R47),IF(R50&gt;R47,1.0,IF(R50=R47,0.5,0.0)),""),"")</f>
        <v/>
      </c>
      <c r="U50" s="9">
        <f>IF(ISNUMBER(R50),IF(ISNUMBER(R48),IF(R50&gt;R48,1.0,IF(R50=R48,0.5,0.0)),""),"")</f>
        <v/>
      </c>
      <c r="V50" s="9">
        <f>IF(ISNUMBER(R50),IF(ISNUMBER(R49),IF(R50&gt;R49,1.0,IF(R50=R49,0.5,0.0)),""),"")</f>
        <v/>
      </c>
      <c r="W50" s="9">
        <f>IF(ISNUMBER(S50),IF(ISNUMBER(S47),IF(S50&gt;S47,1.0,IF(S50=S47,0.5,0.0)),""),"")</f>
        <v/>
      </c>
      <c r="X50" s="9">
        <f>IF(ISNUMBER(S50),IF(ISNUMBER(S48),IF(S50&gt;S48,1.0,IF(S50=S48,0.5,0.0)),""),"")</f>
        <v/>
      </c>
      <c r="Y50" s="9">
        <f>IF(ISNUMBER(S50),IF(ISNUMBER(S49),IF(S50&gt;S49,1.0,IF(S50=S49,0.5,0.0)),""),"")</f>
        <v/>
      </c>
      <c r="Z50" s="24">
        <f>IF(AND(ISNUMBER(R50),ISNUMBER(R47)),VLOOKUP(ABS(R50-R47),'IMP Table'!$A$2:$C$26,3)*SIGN(R50-R47),0)</f>
        <v/>
      </c>
      <c r="AA50" s="9">
        <f>IF(AND(ISNUMBER(R50),ISNUMBER(R48)),VLOOKUP(ABS(R50-R48),'IMP Table'!$A$2:$C$26,3)*SIGN(R50-R48),0)</f>
        <v/>
      </c>
      <c r="AB50" s="9">
        <f>IF(AND(ISNUMBER(R50),ISNUMBER(R49)),VLOOKUP(ABS(R50-R49),'IMP Table'!$A$2:$C$26,3)*SIGN(R50-R49),0)</f>
        <v/>
      </c>
      <c r="AC50" s="9">
        <f>IF(AND(ISNUMBER(S50),ISNUMBER(S47)),VLOOKUP(ABS(S50-S47),'IMP Table'!$A$2:$C$26,3)*SIGN(S50-S47),0)</f>
        <v/>
      </c>
      <c r="AD50" s="9">
        <f>IF(AND(ISNUMBER(S50),ISNUMBER(S48)),VLOOKUP(ABS(S50-S48),'IMP Table'!$A$2:$C$26,3)*SIGN(S50-S48),0)</f>
        <v/>
      </c>
      <c r="AE50" s="9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2026-02-12T16:45:36Z</dcterms:created>
  <dcterms:modified xsi:type="dcterms:W3CDTF">2026-02-12T16:45:37Z</dcterms:modified>
</cp:coreProperties>
</file>