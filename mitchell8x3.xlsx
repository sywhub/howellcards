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87</t>
        </is>
      </c>
      <c r="C8" t="inlineStr">
        <is>
          <t>Name 43</t>
        </is>
      </c>
      <c r="D8" s="4">
        <f>SUMIF('By Board'!D3:D51,"="&amp;A8,'By Board'!N3:N51)/12</f>
        <v/>
      </c>
      <c r="E8" s="5">
        <f>SUMIF('By Board'!D3:D51,"="&amp;A8,'By Board'!L3:L51)</f>
        <v/>
      </c>
    </row>
    <row r="9">
      <c r="A9" s="2" t="n">
        <v>2</v>
      </c>
      <c r="B9" t="inlineStr">
        <is>
          <t>Name 36</t>
        </is>
      </c>
      <c r="C9" t="inlineStr">
        <is>
          <t>Name 37</t>
        </is>
      </c>
      <c r="D9" s="4">
        <f>SUMIF('By Board'!D3:D51,"="&amp;A9,'By Board'!N3:N51)/12</f>
        <v/>
      </c>
      <c r="E9" s="5">
        <f>SUMIF('By Board'!D3:D51,"="&amp;A9,'By Board'!L3:L51)</f>
        <v/>
      </c>
    </row>
    <row r="10">
      <c r="A10" s="2" t="n">
        <v>3</v>
      </c>
      <c r="B10" t="inlineStr">
        <is>
          <t>Name 67</t>
        </is>
      </c>
      <c r="C10" t="inlineStr">
        <is>
          <t>Name 26</t>
        </is>
      </c>
      <c r="D10" s="4">
        <f>SUMIF('By Board'!D3:D51,"="&amp;A10,'By Board'!N3:N51)/12</f>
        <v/>
      </c>
      <c r="E10" s="5">
        <f>SUMIF('By Board'!D3:D51,"="&amp;A10,'By Board'!L3:L51)</f>
        <v/>
      </c>
    </row>
    <row r="11">
      <c r="A11" s="6" t="n">
        <v>4</v>
      </c>
      <c r="B11" s="7" t="inlineStr">
        <is>
          <t>Name 85</t>
        </is>
      </c>
      <c r="C11" s="7" t="inlineStr">
        <is>
          <t>Name 32</t>
        </is>
      </c>
      <c r="D11" s="8">
        <f>SUMIF('By Board'!D3:D51,"="&amp;A11,'By Board'!N3:N51)/12</f>
        <v/>
      </c>
      <c r="E11" s="9">
        <f>SUMIF('By Board'!D3:D51,"="&amp;A11,'By Board'!L3:L51)</f>
        <v/>
      </c>
      <c r="F11" s="7" t="n"/>
    </row>
    <row r="12">
      <c r="C12" s="10" t="inlineStr">
        <is>
          <t>Average</t>
        </is>
      </c>
      <c r="D12" s="11">
        <f>AVERAGE(D8:D11)</f>
        <v/>
      </c>
      <c r="E12" s="12">
        <f>SUM(F8:F11)</f>
        <v/>
      </c>
    </row>
    <row r="14">
      <c r="A14" s="2" t="inlineStr">
        <is>
          <t>EW Pairs</t>
        </is>
      </c>
      <c r="D14" s="2" t="inlineStr">
        <is>
          <t>MP</t>
        </is>
      </c>
      <c r="E14" s="2" t="inlineStr">
        <is>
          <t>IMP</t>
        </is>
      </c>
    </row>
    <row r="15">
      <c r="A15" s="2" t="n">
        <v>1</v>
      </c>
      <c r="B15" t="inlineStr">
        <is>
          <t>Name 53</t>
        </is>
      </c>
      <c r="C15" t="inlineStr">
        <is>
          <t>Name 88</t>
        </is>
      </c>
      <c r="D15" s="4">
        <f>SUMIF('By Board'!E3:E51,"="&amp;A15,'By Board'!O3:O51)/12</f>
        <v/>
      </c>
      <c r="E15" s="5">
        <f>SUMIF('By Board'!E3:E51,"="&amp;A15,'By Board'!M3:M51)</f>
        <v/>
      </c>
    </row>
    <row r="16">
      <c r="A16" s="2" t="n">
        <v>2</v>
      </c>
      <c r="B16" t="inlineStr">
        <is>
          <t>Name 58</t>
        </is>
      </c>
      <c r="C16" t="inlineStr">
        <is>
          <t>Name 17</t>
        </is>
      </c>
      <c r="D16" s="4">
        <f>SUMIF('By Board'!E3:E51,"="&amp;A16,'By Board'!O3:O51)/12</f>
        <v/>
      </c>
      <c r="E16" s="5">
        <f>SUMIF('By Board'!E3:E51,"="&amp;A16,'By Board'!M3:M51)</f>
        <v/>
      </c>
    </row>
    <row r="17">
      <c r="A17" s="2" t="n">
        <v>3</v>
      </c>
      <c r="B17" t="inlineStr">
        <is>
          <t>Name 13</t>
        </is>
      </c>
      <c r="C17" t="inlineStr">
        <is>
          <t>Name 76</t>
        </is>
      </c>
      <c r="D17" s="4">
        <f>SUMIF('By Board'!E3:E51,"="&amp;A17,'By Board'!O3:O51)/12</f>
        <v/>
      </c>
      <c r="E17" s="5">
        <f>SUMIF('By Board'!E3:E51,"="&amp;A17,'By Board'!M3:M51)</f>
        <v/>
      </c>
    </row>
    <row r="18">
      <c r="A18" s="6" t="n">
        <v>4</v>
      </c>
      <c r="B18" s="7" t="inlineStr">
        <is>
          <t>Name 69</t>
        </is>
      </c>
      <c r="C18" s="7" t="inlineStr">
        <is>
          <t>Name 48</t>
        </is>
      </c>
      <c r="D18" s="8">
        <f>SUMIF('By Board'!E3:E51,"="&amp;A18,'By Board'!O3:O51)/12</f>
        <v/>
      </c>
      <c r="E18" s="9">
        <f>SUMIF('By Board'!E3:E51,"="&amp;A18,'By Board'!M3:M51)</f>
        <v/>
      </c>
      <c r="F18" s="7" t="n"/>
    </row>
    <row r="19">
      <c r="C19" s="10" t="inlineStr">
        <is>
          <t>Average</t>
        </is>
      </c>
      <c r="D19" s="11">
        <f>AVERAGE(D15:D18)</f>
        <v/>
      </c>
      <c r="E19" s="12">
        <f>SUM(F15:F18)</f>
        <v/>
      </c>
    </row>
  </sheetData>
  <mergeCells count="6">
    <mergeCell ref="A4:B4"/>
    <mergeCell ref="A2:E2"/>
    <mergeCell ref="A14:C14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Z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W2" s="2" t="inlineStr">
        <is>
          <t>EW MP Scores</t>
        </is>
      </c>
      <c r="Z2" s="14" t="inlineStr">
        <is>
          <t>NS IMP Pair-wise</t>
        </is>
      </c>
      <c r="AC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SUM(Z3:AB3)</f>
        <v/>
      </c>
      <c r="M3" s="5">
        <f>SUM(AC3:AE3)</f>
        <v/>
      </c>
      <c r="N3" s="4">
        <f>IF(COUNT(T3:V3)&gt;0,P3/COUNT(T3:V3),0.5)</f>
        <v/>
      </c>
      <c r="O3" s="4">
        <f>IF(COUNT(W3:Y3)&gt;0,Q3/COUNT(W3:Y3),0.5)</f>
        <v/>
      </c>
      <c r="P3" s="17">
        <f>SUM(T3:V3)</f>
        <v/>
      </c>
      <c r="Q3" s="17">
        <f>SUM(W3:Y3)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8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 s="16">
        <f>SUM(Z4:AB4)</f>
        <v/>
      </c>
      <c r="M4" s="5">
        <f>SUM(AC4:AE4)</f>
        <v/>
      </c>
      <c r="N4" s="4">
        <f>IF(COUNT(T4:V4)&gt;0,P4/COUNT(T4:V4),0.5)</f>
        <v/>
      </c>
      <c r="O4" s="4">
        <f>IF(COUNT(W4:Y4)&gt;0,Q4/COUNT(W4:Y4),0.5)</f>
        <v/>
      </c>
      <c r="P4" s="17">
        <f>SUM(T4:V4)</f>
        <v/>
      </c>
      <c r="Q4" s="17">
        <f>SUM(W4:Y4)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8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6">
        <f>SUM(Z5:AB5)</f>
        <v/>
      </c>
      <c r="M5" s="5">
        <f>SUM(AC5:AE5)</f>
        <v/>
      </c>
      <c r="N5" s="4">
        <f>IF(COUNT(T5:V5)&gt;0,P5/COUNT(T5:V5),0.5)</f>
        <v/>
      </c>
      <c r="O5" s="4">
        <f>IF(COUNT(W5:Y5)&gt;0,Q5/COUNT(W5:Y5),0.5)</f>
        <v/>
      </c>
      <c r="P5" s="17">
        <f>SUM(T5:V5)</f>
        <v/>
      </c>
      <c r="Q5" s="17">
        <f>SUM(W5:Y5)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8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20">
        <f>SUM(Z6:AB6)</f>
        <v/>
      </c>
      <c r="M6" s="9">
        <f>SUM(AC6:AE6)</f>
        <v/>
      </c>
      <c r="N6" s="8">
        <f>IF(COUNT(T6:V6)&gt;0,P6/COUNT(T6:V6),0.5)</f>
        <v/>
      </c>
      <c r="O6" s="8">
        <f>IF(COUNT(W6:Y6)&gt;0,Q6/COUNT(W6:Y6),0.5)</f>
        <v/>
      </c>
      <c r="P6" s="21">
        <f>SUM(T6:V6)</f>
        <v/>
      </c>
      <c r="Q6" s="21">
        <f>SUM(W6:Y6)</f>
        <v/>
      </c>
      <c r="R6" s="22">
        <f>IF(ISNUMBER(J6),J6,IF(ISNUMBER(K6),-K6,""))</f>
        <v/>
      </c>
      <c r="S6" s="7">
        <f>IF(ISNUMBER(K6),K6,IF(ISNUMBER(J6),-J6,""))</f>
        <v/>
      </c>
      <c r="T6" s="22">
        <f>IF(ISNUMBER(R6),IF(ISNUMBER(R3),IF(R6&gt;R3,1.0,IF(R6=R3,0.5,0.0)),""),"")</f>
        <v/>
      </c>
      <c r="U6" s="7">
        <f>IF(ISNUMBER(R6),IF(ISNUMBER(R4),IF(R6&gt;R4,1.0,IF(R6=R4,0.5,0.0)),""),"")</f>
        <v/>
      </c>
      <c r="V6" s="7">
        <f>IF(ISNUMBER(R6),IF(ISNUMBER(R5),IF(R6&gt;R5,1.0,IF(R6=R5,0.5,0.0)),""),"")</f>
        <v/>
      </c>
      <c r="W6" s="7">
        <f>IF(ISNUMBER(S6),IF(ISNUMBER(S3),IF(S6&gt;S3,1.0,IF(S6=S3,0.5,0.0)),""),"")</f>
        <v/>
      </c>
      <c r="X6" s="7">
        <f>IF(ISNUMBER(S6),IF(ISNUMBER(S4),IF(S6&gt;S4,1.0,IF(S6=S4,0.5,0.0)),""),"")</f>
        <v/>
      </c>
      <c r="Y6" s="7">
        <f>IF(ISNUMBER(S6),IF(ISNUMBER(S5),IF(S6&gt;S5,1.0,IF(S6=S5,0.5,0.0)),""),"")</f>
        <v/>
      </c>
      <c r="Z6" s="22">
        <f>IF(AND(ISNUMBER(R6),ISNUMBER(R3)),VLOOKUP(ABS(R6-R3),'IMP Table'!$A$2:$C$26,3)*SIGN(R6-R3),0)</f>
        <v/>
      </c>
      <c r="AA6" s="7">
        <f>IF(AND(ISNUMBER(R6),ISNUMBER(R4)),VLOOKUP(ABS(R6-R4),'IMP Table'!$A$2:$C$26,3)*SIGN(R6-R4),0)</f>
        <v/>
      </c>
      <c r="AB6" s="7">
        <f>IF(AND(ISNUMBER(R6),ISNUMBER(R5)),VLOOKUP(ABS(R6-R5),'IMP Table'!$A$2:$C$26,3)*SIGN(R6-R5),0)</f>
        <v/>
      </c>
      <c r="AC6" s="7">
        <f>IF(AND(ISNUMBER(S6),ISNUMBER(S3)),VLOOKUP(ABS(S6-S3),'IMP Table'!$A$2:$C$26,3)*SIGN(S6-S3),0)</f>
        <v/>
      </c>
      <c r="AD6" s="7">
        <f>IF(AND(ISNUMBER(S6),ISNUMBER(S4)),VLOOKUP(ABS(S6-S4),'IMP Table'!$A$2:$C$26,3)*SIGN(S6-S4),0)</f>
        <v/>
      </c>
      <c r="AE6" s="7">
        <f>IF(AND(ISNUMBER(S6),ISNUMBER(S5)),VLOOKUP(ABS(S6-S5),'IMP Table'!$A$2:$C$26,3)*SIGN(S6-S5),0)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6">
        <f>SUM(Z7:AB7)</f>
        <v/>
      </c>
      <c r="M7" s="5">
        <f>SUM(AC7:AE7)</f>
        <v/>
      </c>
      <c r="N7" s="4">
        <f>IF(COUNT(T7:V7)&gt;0,P7/COUNT(T7:V7),0.5)</f>
        <v/>
      </c>
      <c r="O7" s="4">
        <f>IF(COUNT(W7:Y7)&gt;0,Q7/COUNT(W7:Y7),0.5)</f>
        <v/>
      </c>
      <c r="P7" s="17">
        <f>SUM(T7:V7)</f>
        <v/>
      </c>
      <c r="Q7" s="17">
        <f>SUM(W7:Y7)</f>
        <v/>
      </c>
      <c r="R7" s="18">
        <f>IF(ISNUMBER(J7),J7,IF(ISNUMBER(K7),-K7,""))</f>
        <v/>
      </c>
      <c r="S7">
        <f>IF(ISNUMBER(K7),K7,IF(ISNUMBER(J7),-J7,""))</f>
        <v/>
      </c>
      <c r="T7" s="18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8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 s="16">
        <f>SUM(Z8:AB8)</f>
        <v/>
      </c>
      <c r="M8" s="5">
        <f>SUM(AC8:AE8)</f>
        <v/>
      </c>
      <c r="N8" s="4">
        <f>IF(COUNT(T8:V8)&gt;0,P8/COUNT(T8:V8),0.5)</f>
        <v/>
      </c>
      <c r="O8" s="4">
        <f>IF(COUNT(W8:Y8)&gt;0,Q8/COUNT(W8:Y8),0.5)</f>
        <v/>
      </c>
      <c r="P8" s="17">
        <f>SUM(T8:V8)</f>
        <v/>
      </c>
      <c r="Q8" s="17">
        <f>SUM(W8:Y8)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8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6">
        <f>SUM(Z9:AB9)</f>
        <v/>
      </c>
      <c r="M9" s="5">
        <f>SUM(AC9:AE9)</f>
        <v/>
      </c>
      <c r="N9" s="4">
        <f>IF(COUNT(T9:V9)&gt;0,P9/COUNT(T9:V9),0.5)</f>
        <v/>
      </c>
      <c r="O9" s="4">
        <f>IF(COUNT(W9:Y9)&gt;0,Q9/COUNT(W9:Y9),0.5)</f>
        <v/>
      </c>
      <c r="P9" s="17">
        <f>SUM(T9:V9)</f>
        <v/>
      </c>
      <c r="Q9" s="17">
        <f>SUM(W9:Y9)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8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20">
        <f>SUM(Z10:AB10)</f>
        <v/>
      </c>
      <c r="M10" s="9">
        <f>SUM(AC10:AE10)</f>
        <v/>
      </c>
      <c r="N10" s="8">
        <f>IF(COUNT(T10:V10)&gt;0,P10/COUNT(T10:V10),0.5)</f>
        <v/>
      </c>
      <c r="O10" s="8">
        <f>IF(COUNT(W10:Y10)&gt;0,Q10/COUNT(W10:Y10),0.5)</f>
        <v/>
      </c>
      <c r="P10" s="21">
        <f>SUM(T10:V10)</f>
        <v/>
      </c>
      <c r="Q10" s="21">
        <f>SUM(W10:Y10)</f>
        <v/>
      </c>
      <c r="R10" s="22">
        <f>IF(ISNUMBER(J10),J10,IF(ISNUMBER(K10),-K10,""))</f>
        <v/>
      </c>
      <c r="S10" s="7">
        <f>IF(ISNUMBER(K10),K10,IF(ISNUMBER(J10),-J10,""))</f>
        <v/>
      </c>
      <c r="T10" s="22">
        <f>IF(ISNUMBER(R10),IF(ISNUMBER(R7),IF(R10&gt;R7,1.0,IF(R10=R7,0.5,0.0)),""),"")</f>
        <v/>
      </c>
      <c r="U10" s="7">
        <f>IF(ISNUMBER(R10),IF(ISNUMBER(R8),IF(R10&gt;R8,1.0,IF(R10=R8,0.5,0.0)),""),"")</f>
        <v/>
      </c>
      <c r="V10" s="7">
        <f>IF(ISNUMBER(R10),IF(ISNUMBER(R9),IF(R10&gt;R9,1.0,IF(R10=R9,0.5,0.0)),""),"")</f>
        <v/>
      </c>
      <c r="W10" s="7">
        <f>IF(ISNUMBER(S10),IF(ISNUMBER(S7),IF(S10&gt;S7,1.0,IF(S10=S7,0.5,0.0)),""),"")</f>
        <v/>
      </c>
      <c r="X10" s="7">
        <f>IF(ISNUMBER(S10),IF(ISNUMBER(S8),IF(S10&gt;S8,1.0,IF(S10=S8,0.5,0.0)),""),"")</f>
        <v/>
      </c>
      <c r="Y10" s="7">
        <f>IF(ISNUMBER(S10),IF(ISNUMBER(S9),IF(S10&gt;S9,1.0,IF(S10=S9,0.5,0.0)),""),"")</f>
        <v/>
      </c>
      <c r="Z10" s="22">
        <f>IF(AND(ISNUMBER(R10),ISNUMBER(R7)),VLOOKUP(ABS(R10-R7),'IMP Table'!$A$2:$C$26,3)*SIGN(R10-R7),0)</f>
        <v/>
      </c>
      <c r="AA10" s="7">
        <f>IF(AND(ISNUMBER(R10),ISNUMBER(R8)),VLOOKUP(ABS(R10-R8),'IMP Table'!$A$2:$C$26,3)*SIGN(R10-R8),0)</f>
        <v/>
      </c>
      <c r="AB10" s="7">
        <f>IF(AND(ISNUMBER(R10),ISNUMBER(R9)),VLOOKUP(ABS(R10-R9),'IMP Table'!$A$2:$C$26,3)*SIGN(R10-R9),0)</f>
        <v/>
      </c>
      <c r="AC10" s="7">
        <f>IF(AND(ISNUMBER(S10),ISNUMBER(S7)),VLOOKUP(ABS(S10-S7),'IMP Table'!$A$2:$C$26,3)*SIGN(S10-S7),0)</f>
        <v/>
      </c>
      <c r="AD10" s="7">
        <f>IF(AND(ISNUMBER(S10),ISNUMBER(S8)),VLOOKUP(ABS(S10-S8),'IMP Table'!$A$2:$C$26,3)*SIGN(S10-S8),0)</f>
        <v/>
      </c>
      <c r="AE10" s="7">
        <f>IF(AND(ISNUMBER(S10),ISNUMBER(S9)),VLOOKUP(ABS(S10-S9),'IMP Table'!$A$2:$C$26,3)*SIGN(S10-S9),0)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6">
        <f>SUM(Z11:AB11)</f>
        <v/>
      </c>
      <c r="M11" s="5">
        <f>SUM(AC11:AE11)</f>
        <v/>
      </c>
      <c r="N11" s="4">
        <f>IF(COUNT(T11:V11)&gt;0,P11/COUNT(T11:V11),0.5)</f>
        <v/>
      </c>
      <c r="O11" s="4">
        <f>IF(COUNT(W11:Y11)&gt;0,Q11/COUNT(W11:Y11),0.5)</f>
        <v/>
      </c>
      <c r="P11" s="17">
        <f>SUM(T11:V11)</f>
        <v/>
      </c>
      <c r="Q11" s="17">
        <f>SUM(W11:Y11)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8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6">
        <f>SUM(Z12:AB12)</f>
        <v/>
      </c>
      <c r="M12" s="5">
        <f>SUM(AC12:AE12)</f>
        <v/>
      </c>
      <c r="N12" s="4">
        <f>IF(COUNT(T12:V12)&gt;0,P12/COUNT(T12:V12),0.5)</f>
        <v/>
      </c>
      <c r="O12" s="4">
        <f>IF(COUNT(W12:Y12)&gt;0,Q12/COUNT(W12:Y12),0.5)</f>
        <v/>
      </c>
      <c r="P12" s="17">
        <f>SUM(T12:V12)</f>
        <v/>
      </c>
      <c r="Q12" s="17">
        <f>SUM(W12:Y12)</f>
        <v/>
      </c>
      <c r="R12" s="18">
        <f>IF(ISNUMBER(J12),J12,IF(ISNUMBER(K12),-K12,""))</f>
        <v/>
      </c>
      <c r="S12">
        <f>IF(ISNUMBER(K12),K12,IF(ISNUMBER(J12),-J12,""))</f>
        <v/>
      </c>
      <c r="T12" s="18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8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 s="16">
        <f>SUM(Z13:AB13)</f>
        <v/>
      </c>
      <c r="M13" s="5">
        <f>SUM(AC13:AE13)</f>
        <v/>
      </c>
      <c r="N13" s="4">
        <f>IF(COUNT(T13:V13)&gt;0,P13/COUNT(T13:V13),0.5)</f>
        <v/>
      </c>
      <c r="O13" s="4">
        <f>IF(COUNT(W13:Y13)&gt;0,Q13/COUNT(W13:Y13),0.5)</f>
        <v/>
      </c>
      <c r="P13" s="17">
        <f>SUM(T13:V13)</f>
        <v/>
      </c>
      <c r="Q13" s="17">
        <f>SUM(W13:Y13)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8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20">
        <f>SUM(Z14:AB14)</f>
        <v/>
      </c>
      <c r="M14" s="9">
        <f>SUM(AC14:AE14)</f>
        <v/>
      </c>
      <c r="N14" s="8">
        <f>IF(COUNT(T14:V14)&gt;0,P14/COUNT(T14:V14),0.5)</f>
        <v/>
      </c>
      <c r="O14" s="8">
        <f>IF(COUNT(W14:Y14)&gt;0,Q14/COUNT(W14:Y14),0.5)</f>
        <v/>
      </c>
      <c r="P14" s="21">
        <f>SUM(T14:V14)</f>
        <v/>
      </c>
      <c r="Q14" s="21">
        <f>SUM(W14:Y14)</f>
        <v/>
      </c>
      <c r="R14" s="22">
        <f>IF(ISNUMBER(J14),J14,IF(ISNUMBER(K14),-K14,""))</f>
        <v/>
      </c>
      <c r="S14" s="7">
        <f>IF(ISNUMBER(K14),K14,IF(ISNUMBER(J14),-J14,""))</f>
        <v/>
      </c>
      <c r="T14" s="22">
        <f>IF(ISNUMBER(R14),IF(ISNUMBER(R11),IF(R14&gt;R11,1.0,IF(R14=R11,0.5,0.0)),""),"")</f>
        <v/>
      </c>
      <c r="U14" s="7">
        <f>IF(ISNUMBER(R14),IF(ISNUMBER(R12),IF(R14&gt;R12,1.0,IF(R14=R12,0.5,0.0)),""),"")</f>
        <v/>
      </c>
      <c r="V14" s="7">
        <f>IF(ISNUMBER(R14),IF(ISNUMBER(R13),IF(R14&gt;R13,1.0,IF(R14=R13,0.5,0.0)),""),"")</f>
        <v/>
      </c>
      <c r="W14" s="7">
        <f>IF(ISNUMBER(S14),IF(ISNUMBER(S11),IF(S14&gt;S11,1.0,IF(S14=S11,0.5,0.0)),""),"")</f>
        <v/>
      </c>
      <c r="X14" s="7">
        <f>IF(ISNUMBER(S14),IF(ISNUMBER(S12),IF(S14&gt;S12,1.0,IF(S14=S12,0.5,0.0)),""),"")</f>
        <v/>
      </c>
      <c r="Y14" s="7">
        <f>IF(ISNUMBER(S14),IF(ISNUMBER(S13),IF(S14&gt;S13,1.0,IF(S14=S13,0.5,0.0)),""),"")</f>
        <v/>
      </c>
      <c r="Z14" s="22">
        <f>IF(AND(ISNUMBER(R14),ISNUMBER(R11)),VLOOKUP(ABS(R14-R11),'IMP Table'!$A$2:$C$26,3)*SIGN(R14-R11),0)</f>
        <v/>
      </c>
      <c r="AA14" s="7">
        <f>IF(AND(ISNUMBER(R14),ISNUMBER(R12)),VLOOKUP(ABS(R14-R12),'IMP Table'!$A$2:$C$26,3)*SIGN(R14-R12),0)</f>
        <v/>
      </c>
      <c r="AB14" s="7">
        <f>IF(AND(ISNUMBER(R14),ISNUMBER(R13)),VLOOKUP(ABS(R14-R13),'IMP Table'!$A$2:$C$26,3)*SIGN(R14-R13),0)</f>
        <v/>
      </c>
      <c r="AC14" s="7">
        <f>IF(AND(ISNUMBER(S14),ISNUMBER(S11)),VLOOKUP(ABS(S14-S11),'IMP Table'!$A$2:$C$26,3)*SIGN(S14-S11),0)</f>
        <v/>
      </c>
      <c r="AD14" s="7">
        <f>IF(AND(ISNUMBER(S14),ISNUMBER(S12)),VLOOKUP(ABS(S14-S12),'IMP Table'!$A$2:$C$26,3)*SIGN(S14-S12),0)</f>
        <v/>
      </c>
      <c r="AE14" s="7">
        <f>IF(AND(ISNUMBER(S14),ISNUMBER(S13)),VLOOKUP(ABS(S14-S13),'IMP Table'!$A$2:$C$26,3)*SIGN(S14-S13),0)</f>
        <v/>
      </c>
    </row>
    <row r="15">
      <c r="A15" s="15" t="n">
        <v>10</v>
      </c>
      <c r="B15" s="15">
        <f>'By Round'!A15</f>
        <v/>
      </c>
      <c r="C15" s="15">
        <f>'By Round'!B15</f>
        <v/>
      </c>
      <c r="D15" s="15">
        <f>'By Round'!C15</f>
        <v/>
      </c>
      <c r="E15" s="15">
        <f>'By Round'!D15</f>
        <v/>
      </c>
      <c r="F15" s="15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6">
        <f>SUM(Z15:AB15)</f>
        <v/>
      </c>
      <c r="M15" s="5">
        <f>SUM(AC15:AE15)</f>
        <v/>
      </c>
      <c r="N15" s="4">
        <f>IF(COUNT(T15:V15)&gt;0,P15/COUNT(T15:V15),0.5)</f>
        <v/>
      </c>
      <c r="O15" s="4">
        <f>IF(COUNT(W15:Y15)&gt;0,Q15/COUNT(W15:Y15),0.5)</f>
        <v/>
      </c>
      <c r="P15" s="17">
        <f>SUM(T15:V15)</f>
        <v/>
      </c>
      <c r="Q15" s="17">
        <f>SUM(W15:Y15)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8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5">
        <f>'By Round'!A27</f>
        <v/>
      </c>
      <c r="C16" s="15">
        <f>'By Round'!B30</f>
        <v/>
      </c>
      <c r="D16" s="15">
        <f>'By Round'!C30</f>
        <v/>
      </c>
      <c r="E16" s="15">
        <f>'By Round'!D30</f>
        <v/>
      </c>
      <c r="F16" s="15">
        <f>IF(ISBLANK('By Round'!F30),"",'By Round'!F30)</f>
        <v/>
      </c>
      <c r="G16">
        <f>IF(ISBLANK('By Round'!G30),"",'By Round'!G30)</f>
        <v/>
      </c>
      <c r="H16">
        <f>IF(ISBLANK('By Round'!H30),"",'By Round'!H30)</f>
        <v/>
      </c>
      <c r="I16">
        <f>IF(ISBLANK('By Round'!I30),"",'By Round'!I30)</f>
        <v/>
      </c>
      <c r="J16">
        <f>IF(ISBLANK('By Round'!J30),"",'By Round'!J30)</f>
        <v/>
      </c>
      <c r="K16">
        <f>IF(ISBLANK('By Round'!K30),"",'By Round'!K30)</f>
        <v/>
      </c>
      <c r="L16" s="16">
        <f>SUM(Z16:AB16)</f>
        <v/>
      </c>
      <c r="M16" s="5">
        <f>SUM(AC16:AE16)</f>
        <v/>
      </c>
      <c r="N16" s="4">
        <f>IF(COUNT(T16:V16)&gt;0,P16/COUNT(T16:V16),0.5)</f>
        <v/>
      </c>
      <c r="O16" s="4">
        <f>IF(COUNT(W16:Y16)&gt;0,Q16/COUNT(W16:Y16),0.5)</f>
        <v/>
      </c>
      <c r="P16" s="17">
        <f>SUM(T16:V16)</f>
        <v/>
      </c>
      <c r="Q16" s="17">
        <f>SUM(W16:Y16)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8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5">
        <f>'By Round'!A39</f>
        <v/>
      </c>
      <c r="C17" s="15">
        <f>'By Round'!B45</f>
        <v/>
      </c>
      <c r="D17" s="15">
        <f>'By Round'!C45</f>
        <v/>
      </c>
      <c r="E17" s="15">
        <f>'By Round'!D45</f>
        <v/>
      </c>
      <c r="F17" s="15">
        <f>IF(ISBLANK('By Round'!F45),"",'By Round'!F45)</f>
        <v/>
      </c>
      <c r="G17">
        <f>IF(ISBLANK('By Round'!G45),"",'By Round'!G45)</f>
        <v/>
      </c>
      <c r="H17">
        <f>IF(ISBLANK('By Round'!H45),"",'By Round'!H45)</f>
        <v/>
      </c>
      <c r="I17">
        <f>IF(ISBLANK('By Round'!I45),"",'By Round'!I45)</f>
        <v/>
      </c>
      <c r="J17">
        <f>IF(ISBLANK('By Round'!J45),"",'By Round'!J45)</f>
        <v/>
      </c>
      <c r="K17">
        <f>IF(ISBLANK('By Round'!K45),"",'By Round'!K45)</f>
        <v/>
      </c>
      <c r="L17" s="16">
        <f>SUM(Z17:AB17)</f>
        <v/>
      </c>
      <c r="M17" s="5">
        <f>SUM(AC17:AE17)</f>
        <v/>
      </c>
      <c r="N17" s="4">
        <f>IF(COUNT(T17:V17)&gt;0,P17/COUNT(T17:V17),0.5)</f>
        <v/>
      </c>
      <c r="O17" s="4">
        <f>IF(COUNT(W17:Y17)&gt;0,Q17/COUNT(W17:Y17),0.5)</f>
        <v/>
      </c>
      <c r="P17" s="17">
        <f>SUM(T17:V17)</f>
        <v/>
      </c>
      <c r="Q17" s="17">
        <f>SUM(W17:Y17)</f>
        <v/>
      </c>
      <c r="R17" s="18">
        <f>IF(ISNUMBER(J17),J17,IF(ISNUMBER(K17),-K17,""))</f>
        <v/>
      </c>
      <c r="S17">
        <f>IF(ISNUMBER(K17),K17,IF(ISNUMBER(J17),-J17,""))</f>
        <v/>
      </c>
      <c r="T17" s="18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8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7" t="n"/>
      <c r="B18" s="19">
        <f>'By Round'!A3</f>
        <v/>
      </c>
      <c r="C18" s="19">
        <f>'By Round'!B12</f>
        <v/>
      </c>
      <c r="D18" s="19">
        <f>'By Round'!C12</f>
        <v/>
      </c>
      <c r="E18" s="19">
        <f>'By Round'!D12</f>
        <v/>
      </c>
      <c r="F18" s="19">
        <f>IF(ISBLANK('By Round'!F12),"",'By Round'!F12)</f>
        <v/>
      </c>
      <c r="G18" s="7">
        <f>IF(ISBLANK('By Round'!G12),"",'By Round'!G12)</f>
        <v/>
      </c>
      <c r="H18" s="7">
        <f>IF(ISBLANK('By Round'!H12),"",'By Round'!H12)</f>
        <v/>
      </c>
      <c r="I18" s="7">
        <f>IF(ISBLANK('By Round'!I12),"",'By Round'!I12)</f>
        <v/>
      </c>
      <c r="J18" s="7">
        <f>IF(ISBLANK('By Round'!J12),"",'By Round'!J12)</f>
        <v/>
      </c>
      <c r="K18" s="7">
        <f>IF(ISBLANK('By Round'!K12),"",'By Round'!K12)</f>
        <v/>
      </c>
      <c r="L18" s="20">
        <f>SUM(Z18:AB18)</f>
        <v/>
      </c>
      <c r="M18" s="9">
        <f>SUM(AC18:AE18)</f>
        <v/>
      </c>
      <c r="N18" s="8">
        <f>IF(COUNT(T18:V18)&gt;0,P18/COUNT(T18:V18),0.5)</f>
        <v/>
      </c>
      <c r="O18" s="8">
        <f>IF(COUNT(W18:Y18)&gt;0,Q18/COUNT(W18:Y18),0.5)</f>
        <v/>
      </c>
      <c r="P18" s="21">
        <f>SUM(T18:V18)</f>
        <v/>
      </c>
      <c r="Q18" s="21">
        <f>SUM(W18:Y18)</f>
        <v/>
      </c>
      <c r="R18" s="22">
        <f>IF(ISNUMBER(J18),J18,IF(ISNUMBER(K18),-K18,""))</f>
        <v/>
      </c>
      <c r="S18" s="7">
        <f>IF(ISNUMBER(K18),K18,IF(ISNUMBER(J18),-J18,""))</f>
        <v/>
      </c>
      <c r="T18" s="22">
        <f>IF(ISNUMBER(R18),IF(ISNUMBER(R15),IF(R18&gt;R15,1.0,IF(R18=R15,0.5,0.0)),""),"")</f>
        <v/>
      </c>
      <c r="U18" s="7">
        <f>IF(ISNUMBER(R18),IF(ISNUMBER(R16),IF(R18&gt;R16,1.0,IF(R18=R16,0.5,0.0)),""),"")</f>
        <v/>
      </c>
      <c r="V18" s="7">
        <f>IF(ISNUMBER(R18),IF(ISNUMBER(R17),IF(R18&gt;R17,1.0,IF(R18=R17,0.5,0.0)),""),"")</f>
        <v/>
      </c>
      <c r="W18" s="7">
        <f>IF(ISNUMBER(S18),IF(ISNUMBER(S15),IF(S18&gt;S15,1.0,IF(S18=S15,0.5,0.0)),""),"")</f>
        <v/>
      </c>
      <c r="X18" s="7">
        <f>IF(ISNUMBER(S18),IF(ISNUMBER(S16),IF(S18&gt;S16,1.0,IF(S18=S16,0.5,0.0)),""),"")</f>
        <v/>
      </c>
      <c r="Y18" s="7">
        <f>IF(ISNUMBER(S18),IF(ISNUMBER(S17),IF(S18&gt;S17,1.0,IF(S18=S17,0.5,0.0)),""),"")</f>
        <v/>
      </c>
      <c r="Z18" s="22">
        <f>IF(AND(ISNUMBER(R18),ISNUMBER(R15)),VLOOKUP(ABS(R18-R15),'IMP Table'!$A$2:$C$26,3)*SIGN(R18-R15),0)</f>
        <v/>
      </c>
      <c r="AA18" s="7">
        <f>IF(AND(ISNUMBER(R18),ISNUMBER(R16)),VLOOKUP(ABS(R18-R16),'IMP Table'!$A$2:$C$26,3)*SIGN(R18-R16),0)</f>
        <v/>
      </c>
      <c r="AB18" s="7">
        <f>IF(AND(ISNUMBER(R18),ISNUMBER(R17)),VLOOKUP(ABS(R18-R17),'IMP Table'!$A$2:$C$26,3)*SIGN(R18-R17),0)</f>
        <v/>
      </c>
      <c r="AC18" s="7">
        <f>IF(AND(ISNUMBER(S18),ISNUMBER(S15)),VLOOKUP(ABS(S18-S15),'IMP Table'!$A$2:$C$26,3)*SIGN(S18-S15),0)</f>
        <v/>
      </c>
      <c r="AD18" s="7">
        <f>IF(AND(ISNUMBER(S18),ISNUMBER(S16)),VLOOKUP(ABS(S18-S16),'IMP Table'!$A$2:$C$26,3)*SIGN(S18-S16),0)</f>
        <v/>
      </c>
      <c r="AE18" s="7">
        <f>IF(AND(ISNUMBER(S18),ISNUMBER(S17)),VLOOKUP(ABS(S18-S17),'IMP Table'!$A$2:$C$26,3)*SIGN(S18-S17),0)</f>
        <v/>
      </c>
    </row>
    <row r="19">
      <c r="A19" s="15" t="n">
        <v>11</v>
      </c>
      <c r="B19" s="15">
        <f>'By Round'!A15</f>
        <v/>
      </c>
      <c r="C19" s="15">
        <f>'By Round'!B15</f>
        <v/>
      </c>
      <c r="D19" s="15">
        <f>'By Round'!C15</f>
        <v/>
      </c>
      <c r="E19" s="15">
        <f>'By Round'!D15</f>
        <v/>
      </c>
      <c r="F19" s="15">
        <f>IF(ISBLANK('By Round'!F16),"",'By Round'!F16)</f>
        <v/>
      </c>
      <c r="G19">
        <f>IF(ISBLANK('By Round'!G16),"",'By Round'!G16)</f>
        <v/>
      </c>
      <c r="H19">
        <f>IF(ISBLANK('By Round'!H16),"",'By Round'!H16)</f>
        <v/>
      </c>
      <c r="I19">
        <f>IF(ISBLANK('By Round'!I16),"",'By Round'!I16)</f>
        <v/>
      </c>
      <c r="J19">
        <f>IF(ISBLANK('By Round'!J16),"",'By Round'!J16)</f>
        <v/>
      </c>
      <c r="K19">
        <f>IF(ISBLANK('By Round'!K16),"",'By Round'!K16)</f>
        <v/>
      </c>
      <c r="L19" s="16">
        <f>SUM(Z19:AB19)</f>
        <v/>
      </c>
      <c r="M19" s="5">
        <f>SUM(AC19:AE19)</f>
        <v/>
      </c>
      <c r="N19" s="4">
        <f>IF(COUNT(T19:V19)&gt;0,P19/COUNT(T19:V19),0.5)</f>
        <v/>
      </c>
      <c r="O19" s="4">
        <f>IF(COUNT(W19:Y19)&gt;0,Q19/COUNT(W19:Y19),0.5)</f>
        <v/>
      </c>
      <c r="P19" s="17">
        <f>SUM(T19:V19)</f>
        <v/>
      </c>
      <c r="Q19" s="17">
        <f>SUM(W19:Y19)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8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5">
        <f>'By Round'!A27</f>
        <v/>
      </c>
      <c r="C20" s="15">
        <f>'By Round'!B30</f>
        <v/>
      </c>
      <c r="D20" s="15">
        <f>'By Round'!C30</f>
        <v/>
      </c>
      <c r="E20" s="15">
        <f>'By Round'!D30</f>
        <v/>
      </c>
      <c r="F20" s="15">
        <f>IF(ISBLANK('By Round'!F31),"",'By Round'!F31)</f>
        <v/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6">
        <f>SUM(Z20:AB20)</f>
        <v/>
      </c>
      <c r="M20" s="5">
        <f>SUM(AC20:AE20)</f>
        <v/>
      </c>
      <c r="N20" s="4">
        <f>IF(COUNT(T20:V20)&gt;0,P20/COUNT(T20:V20),0.5)</f>
        <v/>
      </c>
      <c r="O20" s="4">
        <f>IF(COUNT(W20:Y20)&gt;0,Q20/COUNT(W20:Y20),0.5)</f>
        <v/>
      </c>
      <c r="P20" s="17">
        <f>SUM(T20:V20)</f>
        <v/>
      </c>
      <c r="Q20" s="17">
        <f>SUM(W20:Y20)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8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5">
        <f>'By Round'!A39</f>
        <v/>
      </c>
      <c r="C21" s="15">
        <f>'By Round'!B45</f>
        <v/>
      </c>
      <c r="D21" s="15">
        <f>'By Round'!C45</f>
        <v/>
      </c>
      <c r="E21" s="15">
        <f>'By Round'!D45</f>
        <v/>
      </c>
      <c r="F21" s="15">
        <f>IF(ISBLANK('By Round'!F46),"",'By Round'!F46)</f>
        <v/>
      </c>
      <c r="G21">
        <f>IF(ISBLANK('By Round'!G46),"",'By Round'!G46)</f>
        <v/>
      </c>
      <c r="H21">
        <f>IF(ISBLANK('By Round'!H46),"",'By Round'!H46)</f>
        <v/>
      </c>
      <c r="I21">
        <f>IF(ISBLANK('By Round'!I46),"",'By Round'!I46)</f>
        <v/>
      </c>
      <c r="J21">
        <f>IF(ISBLANK('By Round'!J46),"",'By Round'!J46)</f>
        <v/>
      </c>
      <c r="K21">
        <f>IF(ISBLANK('By Round'!K46),"",'By Round'!K46)</f>
        <v/>
      </c>
      <c r="L21" s="16">
        <f>SUM(Z21:AB21)</f>
        <v/>
      </c>
      <c r="M21" s="5">
        <f>SUM(AC21:AE21)</f>
        <v/>
      </c>
      <c r="N21" s="4">
        <f>IF(COUNT(T21:V21)&gt;0,P21/COUNT(T21:V21),0.5)</f>
        <v/>
      </c>
      <c r="O21" s="4">
        <f>IF(COUNT(W21:Y21)&gt;0,Q21/COUNT(W21:Y21),0.5)</f>
        <v/>
      </c>
      <c r="P21" s="17">
        <f>SUM(T21:V21)</f>
        <v/>
      </c>
      <c r="Q21" s="17">
        <f>SUM(W21:Y21)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8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7" t="n"/>
      <c r="B22" s="19">
        <f>'By Round'!A3</f>
        <v/>
      </c>
      <c r="C22" s="19">
        <f>'By Round'!B12</f>
        <v/>
      </c>
      <c r="D22" s="19">
        <f>'By Round'!C12</f>
        <v/>
      </c>
      <c r="E22" s="19">
        <f>'By Round'!D12</f>
        <v/>
      </c>
      <c r="F22" s="19">
        <f>IF(ISBLANK('By Round'!F13),"",'By Round'!F13)</f>
        <v/>
      </c>
      <c r="G22" s="7">
        <f>IF(ISBLANK('By Round'!G13),"",'By Round'!G13)</f>
        <v/>
      </c>
      <c r="H22" s="7">
        <f>IF(ISBLANK('By Round'!H13),"",'By Round'!H13)</f>
        <v/>
      </c>
      <c r="I22" s="7">
        <f>IF(ISBLANK('By Round'!I13),"",'By Round'!I13)</f>
        <v/>
      </c>
      <c r="J22" s="7">
        <f>IF(ISBLANK('By Round'!J13),"",'By Round'!J13)</f>
        <v/>
      </c>
      <c r="K22" s="7">
        <f>IF(ISBLANK('By Round'!K13),"",'By Round'!K13)</f>
        <v/>
      </c>
      <c r="L22" s="20">
        <f>SUM(Z22:AB22)</f>
        <v/>
      </c>
      <c r="M22" s="9">
        <f>SUM(AC22:AE22)</f>
        <v/>
      </c>
      <c r="N22" s="8">
        <f>IF(COUNT(T22:V22)&gt;0,P22/COUNT(T22:V22),0.5)</f>
        <v/>
      </c>
      <c r="O22" s="8">
        <f>IF(COUNT(W22:Y22)&gt;0,Q22/COUNT(W22:Y22),0.5)</f>
        <v/>
      </c>
      <c r="P22" s="21">
        <f>SUM(T22:V22)</f>
        <v/>
      </c>
      <c r="Q22" s="21">
        <f>SUM(W22:Y22)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IF(ISNUMBER(R22),IF(ISNUMBER(R19),IF(R22&gt;R19,1.0,IF(R22=R19,0.5,0.0)),""),"")</f>
        <v/>
      </c>
      <c r="U22" s="7">
        <f>IF(ISNUMBER(R22),IF(ISNUMBER(R20),IF(R22&gt;R20,1.0,IF(R22=R20,0.5,0.0)),""),"")</f>
        <v/>
      </c>
      <c r="V22" s="7">
        <f>IF(ISNUMBER(R22),IF(ISNUMBER(R21),IF(R22&gt;R21,1.0,IF(R22=R21,0.5,0.0)),""),"")</f>
        <v/>
      </c>
      <c r="W22" s="7">
        <f>IF(ISNUMBER(S22),IF(ISNUMBER(S19),IF(S22&gt;S19,1.0,IF(S22=S19,0.5,0.0)),""),"")</f>
        <v/>
      </c>
      <c r="X22" s="7">
        <f>IF(ISNUMBER(S22),IF(ISNUMBER(S20),IF(S22&gt;S20,1.0,IF(S22=S20,0.5,0.0)),""),"")</f>
        <v/>
      </c>
      <c r="Y22" s="7">
        <f>IF(ISNUMBER(S22),IF(ISNUMBER(S21),IF(S22&gt;S21,1.0,IF(S22=S21,0.5,0.0)),""),"")</f>
        <v/>
      </c>
      <c r="Z22" s="22">
        <f>IF(AND(ISNUMBER(R22),ISNUMBER(R19)),VLOOKUP(ABS(R22-R19),'IMP Table'!$A$2:$C$26,3)*SIGN(R22-R19),0)</f>
        <v/>
      </c>
      <c r="AA22" s="7">
        <f>IF(AND(ISNUMBER(R22),ISNUMBER(R20)),VLOOKUP(ABS(R22-R20),'IMP Table'!$A$2:$C$26,3)*SIGN(R22-R20),0)</f>
        <v/>
      </c>
      <c r="AB22" s="7">
        <f>IF(AND(ISNUMBER(R22),ISNUMBER(R21)),VLOOKUP(ABS(R22-R21),'IMP Table'!$A$2:$C$26,3)*SIGN(R22-R21),0)</f>
        <v/>
      </c>
      <c r="AC22" s="7">
        <f>IF(AND(ISNUMBER(S22),ISNUMBER(S19)),VLOOKUP(ABS(S22-S19),'IMP Table'!$A$2:$C$26,3)*SIGN(S22-S19),0)</f>
        <v/>
      </c>
      <c r="AD22" s="7">
        <f>IF(AND(ISNUMBER(S22),ISNUMBER(S20)),VLOOKUP(ABS(S22-S20),'IMP Table'!$A$2:$C$26,3)*SIGN(S22-S20),0)</f>
        <v/>
      </c>
      <c r="AE22" s="7">
        <f>IF(AND(ISNUMBER(S22),ISNUMBER(S21)),VLOOKUP(ABS(S22-S21),'IMP Table'!$A$2:$C$26,3)*SIGN(S22-S21),0)</f>
        <v/>
      </c>
    </row>
    <row r="23">
      <c r="A23" s="15" t="n">
        <v>12</v>
      </c>
      <c r="B23" s="15">
        <f>'By Round'!A15</f>
        <v/>
      </c>
      <c r="C23" s="15">
        <f>'By Round'!B15</f>
        <v/>
      </c>
      <c r="D23" s="15">
        <f>'By Round'!C15</f>
        <v/>
      </c>
      <c r="E23" s="15">
        <f>'By Round'!D15</f>
        <v/>
      </c>
      <c r="F23" s="15">
        <f>IF(ISBLANK('By Round'!F17),"",'By Round'!F17)</f>
        <v/>
      </c>
      <c r="G23">
        <f>IF(ISBLANK('By Round'!G17),"",'By Round'!G17)</f>
        <v/>
      </c>
      <c r="H23">
        <f>IF(ISBLANK('By Round'!H17),"",'By Round'!H17)</f>
        <v/>
      </c>
      <c r="I23">
        <f>IF(ISBLANK('By Round'!I17),"",'By Round'!I17)</f>
        <v/>
      </c>
      <c r="J23">
        <f>IF(ISBLANK('By Round'!J17),"",'By Round'!J17)</f>
        <v/>
      </c>
      <c r="K23">
        <f>IF(ISBLANK('By Round'!K17),"",'By Round'!K17)</f>
        <v/>
      </c>
      <c r="L23" s="16">
        <f>SUM(Z23:AB23)</f>
        <v/>
      </c>
      <c r="M23" s="5">
        <f>SUM(AC23:AE23)</f>
        <v/>
      </c>
      <c r="N23" s="4">
        <f>IF(COUNT(T23:V23)&gt;0,P23/COUNT(T23:V23),0.5)</f>
        <v/>
      </c>
      <c r="O23" s="4">
        <f>IF(COUNT(W23:Y23)&gt;0,Q23/COUNT(W23:Y23),0.5)</f>
        <v/>
      </c>
      <c r="P23" s="17">
        <f>SUM(T23:V23)</f>
        <v/>
      </c>
      <c r="Q23" s="17">
        <f>SUM(W23:Y23)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8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5">
        <f>'By Round'!A27</f>
        <v/>
      </c>
      <c r="C24" s="15">
        <f>'By Round'!B30</f>
        <v/>
      </c>
      <c r="D24" s="15">
        <f>'By Round'!C30</f>
        <v/>
      </c>
      <c r="E24" s="15">
        <f>'By Round'!D30</f>
        <v/>
      </c>
      <c r="F24" s="15">
        <f>IF(ISBLANK('By Round'!F32),"",'By Round'!F32)</f>
        <v/>
      </c>
      <c r="G24">
        <f>IF(ISBLANK('By Round'!G32),"",'By Round'!G32)</f>
        <v/>
      </c>
      <c r="H24">
        <f>IF(ISBLANK('By Round'!H32),"",'By Round'!H32)</f>
        <v/>
      </c>
      <c r="I24">
        <f>IF(ISBLANK('By Round'!I32),"",'By Round'!I32)</f>
        <v/>
      </c>
      <c r="J24">
        <f>IF(ISBLANK('By Round'!J32),"",'By Round'!J32)</f>
        <v/>
      </c>
      <c r="K24">
        <f>IF(ISBLANK('By Round'!K32),"",'By Round'!K32)</f>
        <v/>
      </c>
      <c r="L24" s="16">
        <f>SUM(Z24:AB24)</f>
        <v/>
      </c>
      <c r="M24" s="5">
        <f>SUM(AC24:AE24)</f>
        <v/>
      </c>
      <c r="N24" s="4">
        <f>IF(COUNT(T24:V24)&gt;0,P24/COUNT(T24:V24),0.5)</f>
        <v/>
      </c>
      <c r="O24" s="4">
        <f>IF(COUNT(W24:Y24)&gt;0,Q24/COUNT(W24:Y24),0.5)</f>
        <v/>
      </c>
      <c r="P24" s="17">
        <f>SUM(T24:V24)</f>
        <v/>
      </c>
      <c r="Q24" s="17">
        <f>SUM(W24:Y24)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8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5">
        <f>'By Round'!A39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Round'!F47),"",'By Round'!F47)</f>
        <v/>
      </c>
      <c r="G25">
        <f>IF(ISBLANK('By Round'!G47),"",'By Round'!G47)</f>
        <v/>
      </c>
      <c r="H25">
        <f>IF(ISBLANK('By Round'!H47),"",'By Round'!H47)</f>
        <v/>
      </c>
      <c r="I25">
        <f>IF(ISBLANK('By Round'!I47),"",'By Round'!I47)</f>
        <v/>
      </c>
      <c r="J25">
        <f>IF(ISBLANK('By Round'!J47),"",'By Round'!J47)</f>
        <v/>
      </c>
      <c r="K25">
        <f>IF(ISBLANK('By Round'!K47),"",'By Round'!K47)</f>
        <v/>
      </c>
      <c r="L25" s="16">
        <f>SUM(Z25:AB25)</f>
        <v/>
      </c>
      <c r="M25" s="5">
        <f>SUM(AC25:AE25)</f>
        <v/>
      </c>
      <c r="N25" s="4">
        <f>IF(COUNT(T25:V25)&gt;0,P25/COUNT(T25:V25),0.5)</f>
        <v/>
      </c>
      <c r="O25" s="4">
        <f>IF(COUNT(W25:Y25)&gt;0,Q25/COUNT(W25:Y25),0.5)</f>
        <v/>
      </c>
      <c r="P25" s="17">
        <f>SUM(T25:V25)</f>
        <v/>
      </c>
      <c r="Q25" s="17">
        <f>SUM(W25:Y25)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8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7" t="n"/>
      <c r="B26" s="19">
        <f>'By Round'!A3</f>
        <v/>
      </c>
      <c r="C26" s="19">
        <f>'By Round'!B12</f>
        <v/>
      </c>
      <c r="D26" s="19">
        <f>'By Round'!C12</f>
        <v/>
      </c>
      <c r="E26" s="19">
        <f>'By Round'!D12</f>
        <v/>
      </c>
      <c r="F26" s="19">
        <f>IF(ISBLANK('By Round'!F14),"",'By Round'!F14)</f>
        <v/>
      </c>
      <c r="G26" s="7">
        <f>IF(ISBLANK('By Round'!G14),"",'By Round'!G14)</f>
        <v/>
      </c>
      <c r="H26" s="7">
        <f>IF(ISBLANK('By Round'!H14),"",'By Round'!H14)</f>
        <v/>
      </c>
      <c r="I26" s="7">
        <f>IF(ISBLANK('By Round'!I14),"",'By Round'!I14)</f>
        <v/>
      </c>
      <c r="J26" s="7">
        <f>IF(ISBLANK('By Round'!J14),"",'By Round'!J14)</f>
        <v/>
      </c>
      <c r="K26" s="7">
        <f>IF(ISBLANK('By Round'!K14),"",'By Round'!K14)</f>
        <v/>
      </c>
      <c r="L26" s="20">
        <f>SUM(Z26:AB26)</f>
        <v/>
      </c>
      <c r="M26" s="9">
        <f>SUM(AC26:AE26)</f>
        <v/>
      </c>
      <c r="N26" s="8">
        <f>IF(COUNT(T26:V26)&gt;0,P26/COUNT(T26:V26),0.5)</f>
        <v/>
      </c>
      <c r="O26" s="8">
        <f>IF(COUNT(W26:Y26)&gt;0,Q26/COUNT(W26:Y26),0.5)</f>
        <v/>
      </c>
      <c r="P26" s="21">
        <f>SUM(T26:V26)</f>
        <v/>
      </c>
      <c r="Q26" s="21">
        <f>SUM(W26:Y26)</f>
        <v/>
      </c>
      <c r="R26" s="22">
        <f>IF(ISNUMBER(J26),J26,IF(ISNUMBER(K26),-K26,""))</f>
        <v/>
      </c>
      <c r="S26" s="7">
        <f>IF(ISNUMBER(K26),K26,IF(ISNUMBER(J26),-J26,""))</f>
        <v/>
      </c>
      <c r="T26" s="22">
        <f>IF(ISNUMBER(R26),IF(ISNUMBER(R23),IF(R26&gt;R23,1.0,IF(R26=R23,0.5,0.0)),""),"")</f>
        <v/>
      </c>
      <c r="U26" s="7">
        <f>IF(ISNUMBER(R26),IF(ISNUMBER(R24),IF(R26&gt;R24,1.0,IF(R26=R24,0.5,0.0)),""),"")</f>
        <v/>
      </c>
      <c r="V26" s="7">
        <f>IF(ISNUMBER(R26),IF(ISNUMBER(R25),IF(R26&gt;R25,1.0,IF(R26=R25,0.5,0.0)),""),"")</f>
        <v/>
      </c>
      <c r="W26" s="7">
        <f>IF(ISNUMBER(S26),IF(ISNUMBER(S23),IF(S26&gt;S23,1.0,IF(S26=S23,0.5,0.0)),""),"")</f>
        <v/>
      </c>
      <c r="X26" s="7">
        <f>IF(ISNUMBER(S26),IF(ISNUMBER(S24),IF(S26&gt;S24,1.0,IF(S26=S24,0.5,0.0)),""),"")</f>
        <v/>
      </c>
      <c r="Y26" s="7">
        <f>IF(ISNUMBER(S26),IF(ISNUMBER(S25),IF(S26&gt;S25,1.0,IF(S26=S25,0.5,0.0)),""),"")</f>
        <v/>
      </c>
      <c r="Z26" s="22">
        <f>IF(AND(ISNUMBER(R26),ISNUMBER(R23)),VLOOKUP(ABS(R26-R23),'IMP Table'!$A$2:$C$26,3)*SIGN(R26-R23),0)</f>
        <v/>
      </c>
      <c r="AA26" s="7">
        <f>IF(AND(ISNUMBER(R26),ISNUMBER(R24)),VLOOKUP(ABS(R26-R24),'IMP Table'!$A$2:$C$26,3)*SIGN(R26-R24),0)</f>
        <v/>
      </c>
      <c r="AB26" s="7">
        <f>IF(AND(ISNUMBER(R26),ISNUMBER(R25)),VLOOKUP(ABS(R26-R25),'IMP Table'!$A$2:$C$26,3)*SIGN(R26-R25),0)</f>
        <v/>
      </c>
      <c r="AC26" s="7">
        <f>IF(AND(ISNUMBER(S26),ISNUMBER(S23)),VLOOKUP(ABS(S26-S23),'IMP Table'!$A$2:$C$26,3)*SIGN(S26-S23),0)</f>
        <v/>
      </c>
      <c r="AD26" s="7">
        <f>IF(AND(ISNUMBER(S26),ISNUMBER(S24)),VLOOKUP(ABS(S26-S24),'IMP Table'!$A$2:$C$26,3)*SIGN(S26-S24),0)</f>
        <v/>
      </c>
      <c r="AE26" s="7">
        <f>IF(AND(ISNUMBER(S26),ISNUMBER(S25)),VLOOKUP(ABS(S26-S25),'IMP Table'!$A$2:$C$26,3)*SIGN(S26-S25),0)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6">
        <f>SUM(Z27:AB27)</f>
        <v/>
      </c>
      <c r="M27" s="5">
        <f>SUM(AC27:AE27)</f>
        <v/>
      </c>
      <c r="N27" s="4">
        <f>IF(COUNT(T27:V27)&gt;0,P27/COUNT(T27:V27),0.5)</f>
        <v/>
      </c>
      <c r="O27" s="4">
        <f>IF(COUNT(W27:Y27)&gt;0,Q27/COUNT(W27:Y27),0.5)</f>
        <v/>
      </c>
      <c r="P27" s="17">
        <f>SUM(T27:V27)</f>
        <v/>
      </c>
      <c r="Q27" s="17">
        <f>SUM(W27:Y27)</f>
        <v/>
      </c>
      <c r="R27" s="18">
        <f>IF(ISNUMBER(J27),J27,IF(ISNUMBER(K27),-K27,""))</f>
        <v/>
      </c>
      <c r="S27">
        <f>IF(ISNUMBER(K27),K27,IF(ISNUMBER(J27),-J27,""))</f>
        <v/>
      </c>
      <c r="T27" s="18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8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 s="16">
        <f>SUM(Z28:AB28)</f>
        <v/>
      </c>
      <c r="M28" s="5">
        <f>SUM(AC28:AE28)</f>
        <v/>
      </c>
      <c r="N28" s="4">
        <f>IF(COUNT(T28:V28)&gt;0,P28/COUNT(T28:V28),0.5)</f>
        <v/>
      </c>
      <c r="O28" s="4">
        <f>IF(COUNT(W28:Y28)&gt;0,Q28/COUNT(W28:Y28),0.5)</f>
        <v/>
      </c>
      <c r="P28" s="17">
        <f>SUM(T28:V28)</f>
        <v/>
      </c>
      <c r="Q28" s="17">
        <f>SUM(W28:Y28)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8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 s="16">
        <f>SUM(Z29:AB29)</f>
        <v/>
      </c>
      <c r="M29" s="5">
        <f>SUM(AC29:AE29)</f>
        <v/>
      </c>
      <c r="N29" s="4">
        <f>IF(COUNT(T29:V29)&gt;0,P29/COUNT(T29:V29),0.5)</f>
        <v/>
      </c>
      <c r="O29" s="4">
        <f>IF(COUNT(W29:Y29)&gt;0,Q29/COUNT(W29:Y29),0.5)</f>
        <v/>
      </c>
      <c r="P29" s="17">
        <f>SUM(T29:V29)</f>
        <v/>
      </c>
      <c r="Q29" s="17">
        <f>SUM(W29:Y29)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8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20">
        <f>SUM(Z30:AB30)</f>
        <v/>
      </c>
      <c r="M30" s="9">
        <f>SUM(AC30:AE30)</f>
        <v/>
      </c>
      <c r="N30" s="8">
        <f>IF(COUNT(T30:V30)&gt;0,P30/COUNT(T30:V30),0.5)</f>
        <v/>
      </c>
      <c r="O30" s="8">
        <f>IF(COUNT(W30:Y30)&gt;0,Q30/COUNT(W30:Y30),0.5)</f>
        <v/>
      </c>
      <c r="P30" s="21">
        <f>SUM(T30:V30)</f>
        <v/>
      </c>
      <c r="Q30" s="21">
        <f>SUM(W30:Y30)</f>
        <v/>
      </c>
      <c r="R30" s="22">
        <f>IF(ISNUMBER(J30),J30,IF(ISNUMBER(K30),-K30,""))</f>
        <v/>
      </c>
      <c r="S30" s="7">
        <f>IF(ISNUMBER(K30),K30,IF(ISNUMBER(J30),-J30,""))</f>
        <v/>
      </c>
      <c r="T30" s="22">
        <f>IF(ISNUMBER(R30),IF(ISNUMBER(R27),IF(R30&gt;R27,1.0,IF(R30=R27,0.5,0.0)),""),"")</f>
        <v/>
      </c>
      <c r="U30" s="7">
        <f>IF(ISNUMBER(R30),IF(ISNUMBER(R28),IF(R30&gt;R28,1.0,IF(R30=R28,0.5,0.0)),""),"")</f>
        <v/>
      </c>
      <c r="V30" s="7">
        <f>IF(ISNUMBER(R30),IF(ISNUMBER(R29),IF(R30&gt;R29,1.0,IF(R30=R29,0.5,0.0)),""),"")</f>
        <v/>
      </c>
      <c r="W30" s="7">
        <f>IF(ISNUMBER(S30),IF(ISNUMBER(S27),IF(S30&gt;S27,1.0,IF(S30=S27,0.5,0.0)),""),"")</f>
        <v/>
      </c>
      <c r="X30" s="7">
        <f>IF(ISNUMBER(S30),IF(ISNUMBER(S28),IF(S30&gt;S28,1.0,IF(S30=S28,0.5,0.0)),""),"")</f>
        <v/>
      </c>
      <c r="Y30" s="7">
        <f>IF(ISNUMBER(S30),IF(ISNUMBER(S29),IF(S30&gt;S29,1.0,IF(S30=S29,0.5,0.0)),""),"")</f>
        <v/>
      </c>
      <c r="Z30" s="22">
        <f>IF(AND(ISNUMBER(R30),ISNUMBER(R27)),VLOOKUP(ABS(R30-R27),'IMP Table'!$A$2:$C$26,3)*SIGN(R30-R27),0)</f>
        <v/>
      </c>
      <c r="AA30" s="7">
        <f>IF(AND(ISNUMBER(R30),ISNUMBER(R28)),VLOOKUP(ABS(R30-R28),'IMP Table'!$A$2:$C$26,3)*SIGN(R30-R28),0)</f>
        <v/>
      </c>
      <c r="AB30" s="7">
        <f>IF(AND(ISNUMBER(R30),ISNUMBER(R29)),VLOOKUP(ABS(R30-R29),'IMP Table'!$A$2:$C$26,3)*SIGN(R30-R29),0)</f>
        <v/>
      </c>
      <c r="AC30" s="7">
        <f>IF(AND(ISNUMBER(S30),ISNUMBER(S27)),VLOOKUP(ABS(S30-S27),'IMP Table'!$A$2:$C$26,3)*SIGN(S30-S27),0)</f>
        <v/>
      </c>
      <c r="AD30" s="7">
        <f>IF(AND(ISNUMBER(S30),ISNUMBER(S28)),VLOOKUP(ABS(S30-S28),'IMP Table'!$A$2:$C$26,3)*SIGN(S30-S28),0)</f>
        <v/>
      </c>
      <c r="AE30" s="7">
        <f>IF(AND(ISNUMBER(S30),ISNUMBER(S29)),VLOOKUP(ABS(S30-S29),'IMP Table'!$A$2:$C$26,3)*SIGN(S30-S29),0)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6">
        <f>SUM(Z31:AB31)</f>
        <v/>
      </c>
      <c r="M31" s="5">
        <f>SUM(AC31:AE31)</f>
        <v/>
      </c>
      <c r="N31" s="4">
        <f>IF(COUNT(T31:V31)&gt;0,P31/COUNT(T31:V31),0.5)</f>
        <v/>
      </c>
      <c r="O31" s="4">
        <f>IF(COUNT(W31:Y31)&gt;0,Q31/COUNT(W31:Y31),0.5)</f>
        <v/>
      </c>
      <c r="P31" s="17">
        <f>SUM(T31:V31)</f>
        <v/>
      </c>
      <c r="Q31" s="17">
        <f>SUM(W31:Y31)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8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 s="16">
        <f>SUM(Z32:AB32)</f>
        <v/>
      </c>
      <c r="M32" s="5">
        <f>SUM(AC32:AE32)</f>
        <v/>
      </c>
      <c r="N32" s="4">
        <f>IF(COUNT(T32:V32)&gt;0,P32/COUNT(T32:V32),0.5)</f>
        <v/>
      </c>
      <c r="O32" s="4">
        <f>IF(COUNT(W32:Y32)&gt;0,Q32/COUNT(W32:Y32),0.5)</f>
        <v/>
      </c>
      <c r="P32" s="17">
        <f>SUM(T32:V32)</f>
        <v/>
      </c>
      <c r="Q32" s="17">
        <f>SUM(W32:Y32)</f>
        <v/>
      </c>
      <c r="R32" s="18">
        <f>IF(ISNUMBER(J32),J32,IF(ISNUMBER(K32),-K32,""))</f>
        <v/>
      </c>
      <c r="S32">
        <f>IF(ISNUMBER(K32),K32,IF(ISNUMBER(J32),-J32,""))</f>
        <v/>
      </c>
      <c r="T32" s="18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8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6">
        <f>SUM(Z33:AB33)</f>
        <v/>
      </c>
      <c r="M33" s="5">
        <f>SUM(AC33:AE33)</f>
        <v/>
      </c>
      <c r="N33" s="4">
        <f>IF(COUNT(T33:V33)&gt;0,P33/COUNT(T33:V33),0.5)</f>
        <v/>
      </c>
      <c r="O33" s="4">
        <f>IF(COUNT(W33:Y33)&gt;0,Q33/COUNT(W33:Y33),0.5)</f>
        <v/>
      </c>
      <c r="P33" s="17">
        <f>SUM(T33:V33)</f>
        <v/>
      </c>
      <c r="Q33" s="17">
        <f>SUM(W33:Y33)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8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20">
        <f>SUM(Z34:AB34)</f>
        <v/>
      </c>
      <c r="M34" s="9">
        <f>SUM(AC34:AE34)</f>
        <v/>
      </c>
      <c r="N34" s="8">
        <f>IF(COUNT(T34:V34)&gt;0,P34/COUNT(T34:V34),0.5)</f>
        <v/>
      </c>
      <c r="O34" s="8">
        <f>IF(COUNT(W34:Y34)&gt;0,Q34/COUNT(W34:Y34),0.5)</f>
        <v/>
      </c>
      <c r="P34" s="21">
        <f>SUM(T34:V34)</f>
        <v/>
      </c>
      <c r="Q34" s="21">
        <f>SUM(W34:Y34)</f>
        <v/>
      </c>
      <c r="R34" s="22">
        <f>IF(ISNUMBER(J34),J34,IF(ISNUMBER(K34),-K34,""))</f>
        <v/>
      </c>
      <c r="S34" s="7">
        <f>IF(ISNUMBER(K34),K34,IF(ISNUMBER(J34),-J34,""))</f>
        <v/>
      </c>
      <c r="T34" s="22">
        <f>IF(ISNUMBER(R34),IF(ISNUMBER(R31),IF(R34&gt;R31,1.0,IF(R34=R31,0.5,0.0)),""),"")</f>
        <v/>
      </c>
      <c r="U34" s="7">
        <f>IF(ISNUMBER(R34),IF(ISNUMBER(R32),IF(R34&gt;R32,1.0,IF(R34=R32,0.5,0.0)),""),"")</f>
        <v/>
      </c>
      <c r="V34" s="7">
        <f>IF(ISNUMBER(R34),IF(ISNUMBER(R33),IF(R34&gt;R33,1.0,IF(R34=R33,0.5,0.0)),""),"")</f>
        <v/>
      </c>
      <c r="W34" s="7">
        <f>IF(ISNUMBER(S34),IF(ISNUMBER(S31),IF(S34&gt;S31,1.0,IF(S34=S31,0.5,0.0)),""),"")</f>
        <v/>
      </c>
      <c r="X34" s="7">
        <f>IF(ISNUMBER(S34),IF(ISNUMBER(S32),IF(S34&gt;S32,1.0,IF(S34=S32,0.5,0.0)),""),"")</f>
        <v/>
      </c>
      <c r="Y34" s="7">
        <f>IF(ISNUMBER(S34),IF(ISNUMBER(S33),IF(S34&gt;S33,1.0,IF(S34=S33,0.5,0.0)),""),"")</f>
        <v/>
      </c>
      <c r="Z34" s="22">
        <f>IF(AND(ISNUMBER(R34),ISNUMBER(R31)),VLOOKUP(ABS(R34-R31),'IMP Table'!$A$2:$C$26,3)*SIGN(R34-R31),0)</f>
        <v/>
      </c>
      <c r="AA34" s="7">
        <f>IF(AND(ISNUMBER(R34),ISNUMBER(R32)),VLOOKUP(ABS(R34-R32),'IMP Table'!$A$2:$C$26,3)*SIGN(R34-R32),0)</f>
        <v/>
      </c>
      <c r="AB34" s="7">
        <f>IF(AND(ISNUMBER(R34),ISNUMBER(R33)),VLOOKUP(ABS(R34-R33),'IMP Table'!$A$2:$C$26,3)*SIGN(R34-R33),0)</f>
        <v/>
      </c>
      <c r="AC34" s="7">
        <f>IF(AND(ISNUMBER(S34),ISNUMBER(S31)),VLOOKUP(ABS(S34-S31),'IMP Table'!$A$2:$C$26,3)*SIGN(S34-S31),0)</f>
        <v/>
      </c>
      <c r="AD34" s="7">
        <f>IF(AND(ISNUMBER(S34),ISNUMBER(S32)),VLOOKUP(ABS(S34-S32),'IMP Table'!$A$2:$C$26,3)*SIGN(S34-S32),0)</f>
        <v/>
      </c>
      <c r="AE34" s="7">
        <f>IF(AND(ISNUMBER(S34),ISNUMBER(S33)),VLOOKUP(ABS(S34-S33),'IMP Table'!$A$2:$C$26,3)*SIGN(S34-S33),0)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6">
        <f>SUM(Z35:AB35)</f>
        <v/>
      </c>
      <c r="M35" s="5">
        <f>SUM(AC35:AE35)</f>
        <v/>
      </c>
      <c r="N35" s="4">
        <f>IF(COUNT(T35:V35)&gt;0,P35/COUNT(T35:V35),0.5)</f>
        <v/>
      </c>
      <c r="O35" s="4">
        <f>IF(COUNT(W35:Y35)&gt;0,Q35/COUNT(W35:Y35),0.5)</f>
        <v/>
      </c>
      <c r="P35" s="17">
        <f>SUM(T35:V35)</f>
        <v/>
      </c>
      <c r="Q35" s="17">
        <f>SUM(W35:Y35)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8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6">
        <f>SUM(Z36:AB36)</f>
        <v/>
      </c>
      <c r="M36" s="5">
        <f>SUM(AC36:AE36)</f>
        <v/>
      </c>
      <c r="N36" s="4">
        <f>IF(COUNT(T36:V36)&gt;0,P36/COUNT(T36:V36),0.5)</f>
        <v/>
      </c>
      <c r="O36" s="4">
        <f>IF(COUNT(W36:Y36)&gt;0,Q36/COUNT(W36:Y36),0.5)</f>
        <v/>
      </c>
      <c r="P36" s="17">
        <f>SUM(T36:V36)</f>
        <v/>
      </c>
      <c r="Q36" s="17">
        <f>SUM(W36:Y36)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8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6">
        <f>SUM(Z37:AB37)</f>
        <v/>
      </c>
      <c r="M37" s="5">
        <f>SUM(AC37:AE37)</f>
        <v/>
      </c>
      <c r="N37" s="4">
        <f>IF(COUNT(T37:V37)&gt;0,P37/COUNT(T37:V37),0.5)</f>
        <v/>
      </c>
      <c r="O37" s="4">
        <f>IF(COUNT(W37:Y37)&gt;0,Q37/COUNT(W37:Y37),0.5)</f>
        <v/>
      </c>
      <c r="P37" s="17">
        <f>SUM(T37:V37)</f>
        <v/>
      </c>
      <c r="Q37" s="17">
        <f>SUM(W37:Y37)</f>
        <v/>
      </c>
      <c r="R37" s="18">
        <f>IF(ISNUMBER(J37),J37,IF(ISNUMBER(K37),-K37,""))</f>
        <v/>
      </c>
      <c r="S37">
        <f>IF(ISNUMBER(K37),K37,IF(ISNUMBER(J37),-J37,""))</f>
        <v/>
      </c>
      <c r="T37" s="18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8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20">
        <f>SUM(Z38:AB38)</f>
        <v/>
      </c>
      <c r="M38" s="9">
        <f>SUM(AC38:AE38)</f>
        <v/>
      </c>
      <c r="N38" s="8">
        <f>IF(COUNT(T38:V38)&gt;0,P38/COUNT(T38:V38),0.5)</f>
        <v/>
      </c>
      <c r="O38" s="8">
        <f>IF(COUNT(W38:Y38)&gt;0,Q38/COUNT(W38:Y38),0.5)</f>
        <v/>
      </c>
      <c r="P38" s="21">
        <f>SUM(T38:V38)</f>
        <v/>
      </c>
      <c r="Q38" s="21">
        <f>SUM(W38:Y38)</f>
        <v/>
      </c>
      <c r="R38" s="22">
        <f>IF(ISNUMBER(J38),J38,IF(ISNUMBER(K38),-K38,""))</f>
        <v/>
      </c>
      <c r="S38" s="7">
        <f>IF(ISNUMBER(K38),K38,IF(ISNUMBER(J38),-J38,""))</f>
        <v/>
      </c>
      <c r="T38" s="22">
        <f>IF(ISNUMBER(R38),IF(ISNUMBER(R35),IF(R38&gt;R35,1.0,IF(R38=R35,0.5,0.0)),""),"")</f>
        <v/>
      </c>
      <c r="U38" s="7">
        <f>IF(ISNUMBER(R38),IF(ISNUMBER(R36),IF(R38&gt;R36,1.0,IF(R38=R36,0.5,0.0)),""),"")</f>
        <v/>
      </c>
      <c r="V38" s="7">
        <f>IF(ISNUMBER(R38),IF(ISNUMBER(R37),IF(R38&gt;R37,1.0,IF(R38=R37,0.5,0.0)),""),"")</f>
        <v/>
      </c>
      <c r="W38" s="7">
        <f>IF(ISNUMBER(S38),IF(ISNUMBER(S35),IF(S38&gt;S35,1.0,IF(S38=S35,0.5,0.0)),""),"")</f>
        <v/>
      </c>
      <c r="X38" s="7">
        <f>IF(ISNUMBER(S38),IF(ISNUMBER(S36),IF(S38&gt;S36,1.0,IF(S38=S36,0.5,0.0)),""),"")</f>
        <v/>
      </c>
      <c r="Y38" s="7">
        <f>IF(ISNUMBER(S38),IF(ISNUMBER(S37),IF(S38&gt;S37,1.0,IF(S38=S37,0.5,0.0)),""),"")</f>
        <v/>
      </c>
      <c r="Z38" s="22">
        <f>IF(AND(ISNUMBER(R38),ISNUMBER(R35)),VLOOKUP(ABS(R38-R35),'IMP Table'!$A$2:$C$26,3)*SIGN(R38-R35),0)</f>
        <v/>
      </c>
      <c r="AA38" s="7">
        <f>IF(AND(ISNUMBER(R38),ISNUMBER(R36)),VLOOKUP(ABS(R38-R36),'IMP Table'!$A$2:$C$26,3)*SIGN(R38-R36),0)</f>
        <v/>
      </c>
      <c r="AB38" s="7">
        <f>IF(AND(ISNUMBER(R38),ISNUMBER(R37)),VLOOKUP(ABS(R38-R37),'IMP Table'!$A$2:$C$26,3)*SIGN(R38-R37),0)</f>
        <v/>
      </c>
      <c r="AC38" s="7">
        <f>IF(AND(ISNUMBER(S38),ISNUMBER(S35)),VLOOKUP(ABS(S38-S35),'IMP Table'!$A$2:$C$26,3)*SIGN(S38-S35),0)</f>
        <v/>
      </c>
      <c r="AD38" s="7">
        <f>IF(AND(ISNUMBER(S38),ISNUMBER(S36)),VLOOKUP(ABS(S38-S36),'IMP Table'!$A$2:$C$26,3)*SIGN(S38-S36),0)</f>
        <v/>
      </c>
      <c r="AE38" s="7">
        <f>IF(AND(ISNUMBER(S38),ISNUMBER(S37)),VLOOKUP(ABS(S38-S37),'IMP Table'!$A$2:$C$26,3)*SIGN(S38-S37),0)</f>
        <v/>
      </c>
    </row>
    <row r="39">
      <c r="A39" s="15" t="n">
        <v>4</v>
      </c>
      <c r="B39" s="15">
        <f>'By Round'!A39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6">
        <f>SUM(Z39:AB39)</f>
        <v/>
      </c>
      <c r="M39" s="5">
        <f>SUM(AC39:AE39)</f>
        <v/>
      </c>
      <c r="N39" s="4">
        <f>IF(COUNT(T39:V39)&gt;0,P39/COUNT(T39:V39),0.5)</f>
        <v/>
      </c>
      <c r="O39" s="4">
        <f>IF(COUNT(W39:Y39)&gt;0,Q39/COUNT(W39:Y39),0.5)</f>
        <v/>
      </c>
      <c r="P39" s="17">
        <f>SUM(T39:V39)</f>
        <v/>
      </c>
      <c r="Q39" s="17">
        <f>SUM(W39:Y39)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8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5">
        <f>'By Round'!A3</f>
        <v/>
      </c>
      <c r="C40" s="15">
        <f>'By Round'!B6</f>
        <v/>
      </c>
      <c r="D40" s="15">
        <f>'By Round'!C6</f>
        <v/>
      </c>
      <c r="E40" s="15">
        <f>'By Round'!D6</f>
        <v/>
      </c>
      <c r="F40" s="15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 s="16">
        <f>SUM(Z40:AB40)</f>
        <v/>
      </c>
      <c r="M40" s="5">
        <f>SUM(AC40:AE40)</f>
        <v/>
      </c>
      <c r="N40" s="4">
        <f>IF(COUNT(T40:V40)&gt;0,P40/COUNT(T40:V40),0.5)</f>
        <v/>
      </c>
      <c r="O40" s="4">
        <f>IF(COUNT(W40:Y40)&gt;0,Q40/COUNT(W40:Y40),0.5)</f>
        <v/>
      </c>
      <c r="P40" s="17">
        <f>SUM(T40:V40)</f>
        <v/>
      </c>
      <c r="Q40" s="17">
        <f>SUM(W40:Y40)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8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5">
        <f>'By Round'!A15</f>
        <v/>
      </c>
      <c r="C41" s="15">
        <f>'By Round'!B21</f>
        <v/>
      </c>
      <c r="D41" s="15">
        <f>'By Round'!C21</f>
        <v/>
      </c>
      <c r="E41" s="15">
        <f>'By Round'!D21</f>
        <v/>
      </c>
      <c r="F41" s="15">
        <f>IF(ISBLANK('By Round'!F21),"",'By Round'!F21)</f>
        <v/>
      </c>
      <c r="G41">
        <f>IF(ISBLANK('By Round'!G21),"",'By Round'!G21)</f>
        <v/>
      </c>
      <c r="H41">
        <f>IF(ISBLANK('By Round'!H21),"",'By Round'!H21)</f>
        <v/>
      </c>
      <c r="I41">
        <f>IF(ISBLANK('By Round'!I21),"",'By Round'!I21)</f>
        <v/>
      </c>
      <c r="J41">
        <f>IF(ISBLANK('By Round'!J21),"",'By Round'!J21)</f>
        <v/>
      </c>
      <c r="K41">
        <f>IF(ISBLANK('By Round'!K21),"",'By Round'!K21)</f>
        <v/>
      </c>
      <c r="L41" s="16">
        <f>SUM(Z41:AB41)</f>
        <v/>
      </c>
      <c r="M41" s="5">
        <f>SUM(AC41:AE41)</f>
        <v/>
      </c>
      <c r="N41" s="4">
        <f>IF(COUNT(T41:V41)&gt;0,P41/COUNT(T41:V41),0.5)</f>
        <v/>
      </c>
      <c r="O41" s="4">
        <f>IF(COUNT(W41:Y41)&gt;0,Q41/COUNT(W41:Y41),0.5)</f>
        <v/>
      </c>
      <c r="P41" s="17">
        <f>SUM(T41:V41)</f>
        <v/>
      </c>
      <c r="Q41" s="17">
        <f>SUM(W41:Y41)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8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7" t="n"/>
      <c r="B42" s="19">
        <f>'By Round'!A27</f>
        <v/>
      </c>
      <c r="C42" s="19">
        <f>'By Round'!B36</f>
        <v/>
      </c>
      <c r="D42" s="19">
        <f>'By Round'!C36</f>
        <v/>
      </c>
      <c r="E42" s="19">
        <f>'By Round'!D36</f>
        <v/>
      </c>
      <c r="F42" s="19">
        <f>IF(ISBLANK('By Round'!F36),"",'By Round'!F36)</f>
        <v/>
      </c>
      <c r="G42" s="7">
        <f>IF(ISBLANK('By Round'!G36),"",'By Round'!G36)</f>
        <v/>
      </c>
      <c r="H42" s="7">
        <f>IF(ISBLANK('By Round'!H36),"",'By Round'!H36)</f>
        <v/>
      </c>
      <c r="I42" s="7">
        <f>IF(ISBLANK('By Round'!I36),"",'By Round'!I36)</f>
        <v/>
      </c>
      <c r="J42" s="7">
        <f>IF(ISBLANK('By Round'!J36),"",'By Round'!J36)</f>
        <v/>
      </c>
      <c r="K42" s="7">
        <f>IF(ISBLANK('By Round'!K36),"",'By Round'!K36)</f>
        <v/>
      </c>
      <c r="L42" s="20">
        <f>SUM(Z42:AB42)</f>
        <v/>
      </c>
      <c r="M42" s="9">
        <f>SUM(AC42:AE42)</f>
        <v/>
      </c>
      <c r="N42" s="8">
        <f>IF(COUNT(T42:V42)&gt;0,P42/COUNT(T42:V42),0.5)</f>
        <v/>
      </c>
      <c r="O42" s="8">
        <f>IF(COUNT(W42:Y42)&gt;0,Q42/COUNT(W42:Y42),0.5)</f>
        <v/>
      </c>
      <c r="P42" s="21">
        <f>SUM(T42:V42)</f>
        <v/>
      </c>
      <c r="Q42" s="21">
        <f>SUM(W42:Y42)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IF(ISNUMBER(R42),IF(ISNUMBER(R39),IF(R42&gt;R39,1.0,IF(R42=R39,0.5,0.0)),""),"")</f>
        <v/>
      </c>
      <c r="U42" s="7">
        <f>IF(ISNUMBER(R42),IF(ISNUMBER(R40),IF(R42&gt;R40,1.0,IF(R42=R40,0.5,0.0)),""),"")</f>
        <v/>
      </c>
      <c r="V42" s="7">
        <f>IF(ISNUMBER(R42),IF(ISNUMBER(R41),IF(R42&gt;R41,1.0,IF(R42=R41,0.5,0.0)),""),"")</f>
        <v/>
      </c>
      <c r="W42" s="7">
        <f>IF(ISNUMBER(S42),IF(ISNUMBER(S39),IF(S42&gt;S39,1.0,IF(S42=S39,0.5,0.0)),""),"")</f>
        <v/>
      </c>
      <c r="X42" s="7">
        <f>IF(ISNUMBER(S42),IF(ISNUMBER(S40),IF(S42&gt;S40,1.0,IF(S42=S40,0.5,0.0)),""),"")</f>
        <v/>
      </c>
      <c r="Y42" s="7">
        <f>IF(ISNUMBER(S42),IF(ISNUMBER(S41),IF(S42&gt;S41,1.0,IF(S42=S41,0.5,0.0)),""),"")</f>
        <v/>
      </c>
      <c r="Z42" s="22">
        <f>IF(AND(ISNUMBER(R42),ISNUMBER(R39)),VLOOKUP(ABS(R42-R39),'IMP Table'!$A$2:$C$26,3)*SIGN(R42-R39),0)</f>
        <v/>
      </c>
      <c r="AA42" s="7">
        <f>IF(AND(ISNUMBER(R42),ISNUMBER(R40)),VLOOKUP(ABS(R42-R40),'IMP Table'!$A$2:$C$26,3)*SIGN(R42-R40),0)</f>
        <v/>
      </c>
      <c r="AB42" s="7">
        <f>IF(AND(ISNUMBER(R42),ISNUMBER(R41)),VLOOKUP(ABS(R42-R41),'IMP Table'!$A$2:$C$26,3)*SIGN(R42-R41),0)</f>
        <v/>
      </c>
      <c r="AC42" s="7">
        <f>IF(AND(ISNUMBER(S42),ISNUMBER(S39)),VLOOKUP(ABS(S42-S39),'IMP Table'!$A$2:$C$26,3)*SIGN(S42-S39),0)</f>
        <v/>
      </c>
      <c r="AD42" s="7">
        <f>IF(AND(ISNUMBER(S42),ISNUMBER(S40)),VLOOKUP(ABS(S42-S40),'IMP Table'!$A$2:$C$26,3)*SIGN(S42-S40),0)</f>
        <v/>
      </c>
      <c r="AE42" s="7">
        <f>IF(AND(ISNUMBER(S42),ISNUMBER(S41)),VLOOKUP(ABS(S42-S41),'IMP Table'!$A$2:$C$26,3)*SIGN(S42-S41),0)</f>
        <v/>
      </c>
    </row>
    <row r="43">
      <c r="A43" s="15" t="n">
        <v>5</v>
      </c>
      <c r="B43" s="15">
        <f>'By Round'!A39</f>
        <v/>
      </c>
      <c r="C43" s="15">
        <f>'By Round'!B39</f>
        <v/>
      </c>
      <c r="D43" s="15">
        <f>'By Round'!C39</f>
        <v/>
      </c>
      <c r="E43" s="15">
        <f>'By Round'!D39</f>
        <v/>
      </c>
      <c r="F43" s="15">
        <f>IF(ISBLANK('By Round'!F40),"",'By Round'!F40)</f>
        <v/>
      </c>
      <c r="G43">
        <f>IF(ISBLANK('By Round'!G40),"",'By Round'!G40)</f>
        <v/>
      </c>
      <c r="H43">
        <f>IF(ISBLANK('By Round'!H40),"",'By Round'!H40)</f>
        <v/>
      </c>
      <c r="I43">
        <f>IF(ISBLANK('By Round'!I40),"",'By Round'!I40)</f>
        <v/>
      </c>
      <c r="J43">
        <f>IF(ISBLANK('By Round'!J40),"",'By Round'!J40)</f>
        <v/>
      </c>
      <c r="K43">
        <f>IF(ISBLANK('By Round'!K40),"",'By Round'!K40)</f>
        <v/>
      </c>
      <c r="L43" s="16">
        <f>SUM(Z43:AB43)</f>
        <v/>
      </c>
      <c r="M43" s="5">
        <f>SUM(AC43:AE43)</f>
        <v/>
      </c>
      <c r="N43" s="4">
        <f>IF(COUNT(T43:V43)&gt;0,P43/COUNT(T43:V43),0.5)</f>
        <v/>
      </c>
      <c r="O43" s="4">
        <f>IF(COUNT(W43:Y43)&gt;0,Q43/COUNT(W43:Y43),0.5)</f>
        <v/>
      </c>
      <c r="P43" s="17">
        <f>SUM(T43:V43)</f>
        <v/>
      </c>
      <c r="Q43" s="17">
        <f>SUM(W43:Y43)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8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5">
        <f>'By Round'!A3</f>
        <v/>
      </c>
      <c r="C44" s="15">
        <f>'By Round'!B6</f>
        <v/>
      </c>
      <c r="D44" s="15">
        <f>'By Round'!C6</f>
        <v/>
      </c>
      <c r="E44" s="15">
        <f>'By Round'!D6</f>
        <v/>
      </c>
      <c r="F44" s="15">
        <f>IF(ISBLANK('By Round'!F7),"",'By Round'!F7)</f>
        <v/>
      </c>
      <c r="G44">
        <f>IF(ISBLANK('By Round'!G7),"",'By Round'!G7)</f>
        <v/>
      </c>
      <c r="H44">
        <f>IF(ISBLANK('By Round'!H7),"",'By Round'!H7)</f>
        <v/>
      </c>
      <c r="I44">
        <f>IF(ISBLANK('By Round'!I7),"",'By Round'!I7)</f>
        <v/>
      </c>
      <c r="J44">
        <f>IF(ISBLANK('By Round'!J7),"",'By Round'!J7)</f>
        <v/>
      </c>
      <c r="K44">
        <f>IF(ISBLANK('By Round'!K7),"",'By Round'!K7)</f>
        <v/>
      </c>
      <c r="L44" s="16">
        <f>SUM(Z44:AB44)</f>
        <v/>
      </c>
      <c r="M44" s="5">
        <f>SUM(AC44:AE44)</f>
        <v/>
      </c>
      <c r="N44" s="4">
        <f>IF(COUNT(T44:V44)&gt;0,P44/COUNT(T44:V44),0.5)</f>
        <v/>
      </c>
      <c r="O44" s="4">
        <f>IF(COUNT(W44:Y44)&gt;0,Q44/COUNT(W44:Y44),0.5)</f>
        <v/>
      </c>
      <c r="P44" s="17">
        <f>SUM(T44:V44)</f>
        <v/>
      </c>
      <c r="Q44" s="17">
        <f>SUM(W44:Y44)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8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5">
        <f>'By Round'!A15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Round'!F22),"",'By Round'!F22)</f>
        <v/>
      </c>
      <c r="G45">
        <f>IF(ISBLANK('By Round'!G22),"",'By Round'!G22)</f>
        <v/>
      </c>
      <c r="H45">
        <f>IF(ISBLANK('By Round'!H22),"",'By Round'!H22)</f>
        <v/>
      </c>
      <c r="I45">
        <f>IF(ISBLANK('By Round'!I22),"",'By Round'!I22)</f>
        <v/>
      </c>
      <c r="J45">
        <f>IF(ISBLANK('By Round'!J22),"",'By Round'!J22)</f>
        <v/>
      </c>
      <c r="K45">
        <f>IF(ISBLANK('By Round'!K22),"",'By Round'!K22)</f>
        <v/>
      </c>
      <c r="L45" s="16">
        <f>SUM(Z45:AB45)</f>
        <v/>
      </c>
      <c r="M45" s="5">
        <f>SUM(AC45:AE45)</f>
        <v/>
      </c>
      <c r="N45" s="4">
        <f>IF(COUNT(T45:V45)&gt;0,P45/COUNT(T45:V45),0.5)</f>
        <v/>
      </c>
      <c r="O45" s="4">
        <f>IF(COUNT(W45:Y45)&gt;0,Q45/COUNT(W45:Y45),0.5)</f>
        <v/>
      </c>
      <c r="P45" s="17">
        <f>SUM(T45:V45)</f>
        <v/>
      </c>
      <c r="Q45" s="17">
        <f>SUM(W45:Y45)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8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7" t="n"/>
      <c r="B46" s="19">
        <f>'By Round'!A27</f>
        <v/>
      </c>
      <c r="C46" s="19">
        <f>'By Round'!B36</f>
        <v/>
      </c>
      <c r="D46" s="19">
        <f>'By Round'!C36</f>
        <v/>
      </c>
      <c r="E46" s="19">
        <f>'By Round'!D36</f>
        <v/>
      </c>
      <c r="F46" s="19">
        <f>IF(ISBLANK('By Round'!F37),"",'By Round'!F37)</f>
        <v/>
      </c>
      <c r="G46" s="7">
        <f>IF(ISBLANK('By Round'!G37),"",'By Round'!G37)</f>
        <v/>
      </c>
      <c r="H46" s="7">
        <f>IF(ISBLANK('By Round'!H37),"",'By Round'!H37)</f>
        <v/>
      </c>
      <c r="I46" s="7">
        <f>IF(ISBLANK('By Round'!I37),"",'By Round'!I37)</f>
        <v/>
      </c>
      <c r="J46" s="7">
        <f>IF(ISBLANK('By Round'!J37),"",'By Round'!J37)</f>
        <v/>
      </c>
      <c r="K46" s="7">
        <f>IF(ISBLANK('By Round'!K37),"",'By Round'!K37)</f>
        <v/>
      </c>
      <c r="L46" s="20">
        <f>SUM(Z46:AB46)</f>
        <v/>
      </c>
      <c r="M46" s="9">
        <f>SUM(AC46:AE46)</f>
        <v/>
      </c>
      <c r="N46" s="8">
        <f>IF(COUNT(T46:V46)&gt;0,P46/COUNT(T46:V46),0.5)</f>
        <v/>
      </c>
      <c r="O46" s="8">
        <f>IF(COUNT(W46:Y46)&gt;0,Q46/COUNT(W46:Y46),0.5)</f>
        <v/>
      </c>
      <c r="P46" s="21">
        <f>SUM(T46:V46)</f>
        <v/>
      </c>
      <c r="Q46" s="21">
        <f>SUM(W46:Y46)</f>
        <v/>
      </c>
      <c r="R46" s="22">
        <f>IF(ISNUMBER(J46),J46,IF(ISNUMBER(K46),-K46,""))</f>
        <v/>
      </c>
      <c r="S46" s="7">
        <f>IF(ISNUMBER(K46),K46,IF(ISNUMBER(J46),-J46,""))</f>
        <v/>
      </c>
      <c r="T46" s="22">
        <f>IF(ISNUMBER(R46),IF(ISNUMBER(R43),IF(R46&gt;R43,1.0,IF(R46=R43,0.5,0.0)),""),"")</f>
        <v/>
      </c>
      <c r="U46" s="7">
        <f>IF(ISNUMBER(R46),IF(ISNUMBER(R44),IF(R46&gt;R44,1.0,IF(R46=R44,0.5,0.0)),""),"")</f>
        <v/>
      </c>
      <c r="V46" s="7">
        <f>IF(ISNUMBER(R46),IF(ISNUMBER(R45),IF(R46&gt;R45,1.0,IF(R46=R45,0.5,0.0)),""),"")</f>
        <v/>
      </c>
      <c r="W46" s="7">
        <f>IF(ISNUMBER(S46),IF(ISNUMBER(S43),IF(S46&gt;S43,1.0,IF(S46=S43,0.5,0.0)),""),"")</f>
        <v/>
      </c>
      <c r="X46" s="7">
        <f>IF(ISNUMBER(S46),IF(ISNUMBER(S44),IF(S46&gt;S44,1.0,IF(S46=S44,0.5,0.0)),""),"")</f>
        <v/>
      </c>
      <c r="Y46" s="7">
        <f>IF(ISNUMBER(S46),IF(ISNUMBER(S45),IF(S46&gt;S45,1.0,IF(S46=S45,0.5,0.0)),""),"")</f>
        <v/>
      </c>
      <c r="Z46" s="22">
        <f>IF(AND(ISNUMBER(R46),ISNUMBER(R43)),VLOOKUP(ABS(R46-R43),'IMP Table'!$A$2:$C$26,3)*SIGN(R46-R43),0)</f>
        <v/>
      </c>
      <c r="AA46" s="7">
        <f>IF(AND(ISNUMBER(R46),ISNUMBER(R44)),VLOOKUP(ABS(R46-R44),'IMP Table'!$A$2:$C$26,3)*SIGN(R46-R44),0)</f>
        <v/>
      </c>
      <c r="AB46" s="7">
        <f>IF(AND(ISNUMBER(R46),ISNUMBER(R45)),VLOOKUP(ABS(R46-R45),'IMP Table'!$A$2:$C$26,3)*SIGN(R46-R45),0)</f>
        <v/>
      </c>
      <c r="AC46" s="7">
        <f>IF(AND(ISNUMBER(S46),ISNUMBER(S43)),VLOOKUP(ABS(S46-S43),'IMP Table'!$A$2:$C$26,3)*SIGN(S46-S43),0)</f>
        <v/>
      </c>
      <c r="AD46" s="7">
        <f>IF(AND(ISNUMBER(S46),ISNUMBER(S44)),VLOOKUP(ABS(S46-S44),'IMP Table'!$A$2:$C$26,3)*SIGN(S46-S44),0)</f>
        <v/>
      </c>
      <c r="AE46" s="7">
        <f>IF(AND(ISNUMBER(S46),ISNUMBER(S45)),VLOOKUP(ABS(S46-S45),'IMP Table'!$A$2:$C$26,3)*SIGN(S46-S45),0)</f>
        <v/>
      </c>
    </row>
    <row r="47">
      <c r="A47" s="15" t="n">
        <v>6</v>
      </c>
      <c r="B47" s="15">
        <f>'By Round'!A39</f>
        <v/>
      </c>
      <c r="C47" s="15">
        <f>'By Round'!B39</f>
        <v/>
      </c>
      <c r="D47" s="15">
        <f>'By Round'!C39</f>
        <v/>
      </c>
      <c r="E47" s="15">
        <f>'By Round'!D39</f>
        <v/>
      </c>
      <c r="F47" s="15">
        <f>IF(ISBLANK('By Round'!F41),"",'By Round'!F41)</f>
        <v/>
      </c>
      <c r="G47">
        <f>IF(ISBLANK('By Round'!G41),"",'By Round'!G41)</f>
        <v/>
      </c>
      <c r="H47">
        <f>IF(ISBLANK('By Round'!H41),"",'By Round'!H41)</f>
        <v/>
      </c>
      <c r="I47">
        <f>IF(ISBLANK('By Round'!I41),"",'By Round'!I41)</f>
        <v/>
      </c>
      <c r="J47">
        <f>IF(ISBLANK('By Round'!J41),"",'By Round'!J41)</f>
        <v/>
      </c>
      <c r="K47">
        <f>IF(ISBLANK('By Round'!K41),"",'By Round'!K41)</f>
        <v/>
      </c>
      <c r="L47" s="16">
        <f>SUM(Z47:AB47)</f>
        <v/>
      </c>
      <c r="M47" s="5">
        <f>SUM(AC47:AE47)</f>
        <v/>
      </c>
      <c r="N47" s="4">
        <f>IF(COUNT(T47:V47)&gt;0,P47/COUNT(T47:V47),0.5)</f>
        <v/>
      </c>
      <c r="O47" s="4">
        <f>IF(COUNT(W47:Y47)&gt;0,Q47/COUNT(W47:Y47),0.5)</f>
        <v/>
      </c>
      <c r="P47" s="17">
        <f>SUM(T47:V47)</f>
        <v/>
      </c>
      <c r="Q47" s="17">
        <f>SUM(W47:Y47)</f>
        <v/>
      </c>
      <c r="R47" s="18">
        <f>IF(ISNUMBER(J47),J47,IF(ISNUMBER(K47),-K47,""))</f>
        <v/>
      </c>
      <c r="S47">
        <f>IF(ISNUMBER(K47),K47,IF(ISNUMBER(J47),-J47,""))</f>
        <v/>
      </c>
      <c r="T47" s="18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8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5">
        <f>'By Round'!A3</f>
        <v/>
      </c>
      <c r="C48" s="15">
        <f>'By Round'!B6</f>
        <v/>
      </c>
      <c r="D48" s="15">
        <f>'By Round'!C6</f>
        <v/>
      </c>
      <c r="E48" s="15">
        <f>'By Round'!D6</f>
        <v/>
      </c>
      <c r="F48" s="15">
        <f>IF(ISBLANK('By Round'!F8),"",'By Round'!F8)</f>
        <v/>
      </c>
      <c r="G48">
        <f>IF(ISBLANK('By Round'!G8),"",'By Round'!G8)</f>
        <v/>
      </c>
      <c r="H48">
        <f>IF(ISBLANK('By Round'!H8),"",'By Round'!H8)</f>
        <v/>
      </c>
      <c r="I48">
        <f>IF(ISBLANK('By Round'!I8),"",'By Round'!I8)</f>
        <v/>
      </c>
      <c r="J48">
        <f>IF(ISBLANK('By Round'!J8),"",'By Round'!J8)</f>
        <v/>
      </c>
      <c r="K48">
        <f>IF(ISBLANK('By Round'!K8),"",'By Round'!K8)</f>
        <v/>
      </c>
      <c r="L48" s="16">
        <f>SUM(Z48:AB48)</f>
        <v/>
      </c>
      <c r="M48" s="5">
        <f>SUM(AC48:AE48)</f>
        <v/>
      </c>
      <c r="N48" s="4">
        <f>IF(COUNT(T48:V48)&gt;0,P48/COUNT(T48:V48),0.5)</f>
        <v/>
      </c>
      <c r="O48" s="4">
        <f>IF(COUNT(W48:Y48)&gt;0,Q48/COUNT(W48:Y48),0.5)</f>
        <v/>
      </c>
      <c r="P48" s="17">
        <f>SUM(T48:V48)</f>
        <v/>
      </c>
      <c r="Q48" s="17">
        <f>SUM(W48:Y48)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8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5">
        <f>'By Round'!A15</f>
        <v/>
      </c>
      <c r="C49" s="15">
        <f>'By Round'!B21</f>
        <v/>
      </c>
      <c r="D49" s="15">
        <f>'By Round'!C21</f>
        <v/>
      </c>
      <c r="E49" s="15">
        <f>'By Round'!D21</f>
        <v/>
      </c>
      <c r="F49" s="15">
        <f>IF(ISBLANK('By Round'!F23),"",'By Round'!F23)</f>
        <v/>
      </c>
      <c r="G49">
        <f>IF(ISBLANK('By Round'!G23),"",'By Round'!G23)</f>
        <v/>
      </c>
      <c r="H49">
        <f>IF(ISBLANK('By Round'!H23),"",'By Round'!H23)</f>
        <v/>
      </c>
      <c r="I49">
        <f>IF(ISBLANK('By Round'!I23),"",'By Round'!I23)</f>
        <v/>
      </c>
      <c r="J49">
        <f>IF(ISBLANK('By Round'!J23),"",'By Round'!J23)</f>
        <v/>
      </c>
      <c r="K49">
        <f>IF(ISBLANK('By Round'!K23),"",'By Round'!K23)</f>
        <v/>
      </c>
      <c r="L49" s="16">
        <f>SUM(Z49:AB49)</f>
        <v/>
      </c>
      <c r="M49" s="5">
        <f>SUM(AC49:AE49)</f>
        <v/>
      </c>
      <c r="N49" s="4">
        <f>IF(COUNT(T49:V49)&gt;0,P49/COUNT(T49:V49),0.5)</f>
        <v/>
      </c>
      <c r="O49" s="4">
        <f>IF(COUNT(W49:Y49)&gt;0,Q49/COUNT(W49:Y49),0.5)</f>
        <v/>
      </c>
      <c r="P49" s="17">
        <f>SUM(T49:V49)</f>
        <v/>
      </c>
      <c r="Q49" s="17">
        <f>SUM(W49:Y49)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8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7" t="n"/>
      <c r="B50" s="19">
        <f>'By Round'!A27</f>
        <v/>
      </c>
      <c r="C50" s="19">
        <f>'By Round'!B36</f>
        <v/>
      </c>
      <c r="D50" s="19">
        <f>'By Round'!C36</f>
        <v/>
      </c>
      <c r="E50" s="19">
        <f>'By Round'!D36</f>
        <v/>
      </c>
      <c r="F50" s="19">
        <f>IF(ISBLANK('By Round'!F38),"",'By Round'!F38)</f>
        <v/>
      </c>
      <c r="G50" s="7">
        <f>IF(ISBLANK('By Round'!G38),"",'By Round'!G38)</f>
        <v/>
      </c>
      <c r="H50" s="7">
        <f>IF(ISBLANK('By Round'!H38),"",'By Round'!H38)</f>
        <v/>
      </c>
      <c r="I50" s="7">
        <f>IF(ISBLANK('By Round'!I38),"",'By Round'!I38)</f>
        <v/>
      </c>
      <c r="J50" s="7">
        <f>IF(ISBLANK('By Round'!J38),"",'By Round'!J38)</f>
        <v/>
      </c>
      <c r="K50" s="7">
        <f>IF(ISBLANK('By Round'!K38),"",'By Round'!K38)</f>
        <v/>
      </c>
      <c r="L50" s="20">
        <f>SUM(Z50:AB50)</f>
        <v/>
      </c>
      <c r="M50" s="9">
        <f>SUM(AC50:AE50)</f>
        <v/>
      </c>
      <c r="N50" s="8">
        <f>IF(COUNT(T50:V50)&gt;0,P50/COUNT(T50:V50),0.5)</f>
        <v/>
      </c>
      <c r="O50" s="8">
        <f>IF(COUNT(W50:Y50)&gt;0,Q50/COUNT(W50:Y50),0.5)</f>
        <v/>
      </c>
      <c r="P50" s="21">
        <f>SUM(T50:V50)</f>
        <v/>
      </c>
      <c r="Q50" s="21">
        <f>SUM(W50:Y50)</f>
        <v/>
      </c>
      <c r="R50" s="22">
        <f>IF(ISNUMBER(J50),J50,IF(ISNUMBER(K50),-K50,""))</f>
        <v/>
      </c>
      <c r="S50" s="7">
        <f>IF(ISNUMBER(K50),K50,IF(ISNUMBER(J50),-J50,""))</f>
        <v/>
      </c>
      <c r="T50" s="22">
        <f>IF(ISNUMBER(R50),IF(ISNUMBER(R47),IF(R50&gt;R47,1.0,IF(R50=R47,0.5,0.0)),""),"")</f>
        <v/>
      </c>
      <c r="U50" s="7">
        <f>IF(ISNUMBER(R50),IF(ISNUMBER(R48),IF(R50&gt;R48,1.0,IF(R50=R48,0.5,0.0)),""),"")</f>
        <v/>
      </c>
      <c r="V50" s="7">
        <f>IF(ISNUMBER(R50),IF(ISNUMBER(R49),IF(R50&gt;R49,1.0,IF(R50=R49,0.5,0.0)),""),"")</f>
        <v/>
      </c>
      <c r="W50" s="7">
        <f>IF(ISNUMBER(S50),IF(ISNUMBER(S47),IF(S50&gt;S47,1.0,IF(S50=S47,0.5,0.0)),""),"")</f>
        <v/>
      </c>
      <c r="X50" s="7">
        <f>IF(ISNUMBER(S50),IF(ISNUMBER(S48),IF(S50&gt;S48,1.0,IF(S50=S48,0.5,0.0)),""),"")</f>
        <v/>
      </c>
      <c r="Y50" s="7">
        <f>IF(ISNUMBER(S50),IF(ISNUMBER(S49),IF(S50&gt;S49,1.0,IF(S50=S49,0.5,0.0)),""),"")</f>
        <v/>
      </c>
      <c r="Z50" s="22">
        <f>IF(AND(ISNUMBER(R50),ISNUMBER(R47)),VLOOKUP(ABS(R50-R47),'IMP Table'!$A$2:$C$26,3)*SIGN(R50-R47),0)</f>
        <v/>
      </c>
      <c r="AA50" s="7">
        <f>IF(AND(ISNUMBER(R50),ISNUMBER(R48)),VLOOKUP(ABS(R50-R48),'IMP Table'!$A$2:$C$26,3)*SIGN(R50-R48),0)</f>
        <v/>
      </c>
      <c r="AB50" s="7">
        <f>IF(AND(ISNUMBER(R50),ISNUMBER(R49)),VLOOKUP(ABS(R50-R49),'IMP Table'!$A$2:$C$26,3)*SIGN(R50-R49),0)</f>
        <v/>
      </c>
      <c r="AC50" s="7">
        <f>IF(AND(ISNUMBER(S50),ISNUMBER(S47)),VLOOKUP(ABS(S50-S47),'IMP Table'!$A$2:$C$26,3)*SIGN(S50-S47),0)</f>
        <v/>
      </c>
      <c r="AD50" s="7">
        <f>IF(AND(ISNUMBER(S50),ISNUMBER(S48)),VLOOKUP(ABS(S50-S48),'IMP Table'!$A$2:$C$26,3)*SIGN(S50-S48),0)</f>
        <v/>
      </c>
      <c r="AE50" s="7">
        <f>IF(AND(ISNUMBER(S50),ISNUMBER(S49)),VLOOKUP(ABS(S50-S49),'IMP Table'!$A$2:$C$26,3)*SIGN(S50-S49),0)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2026-02-05T03:51:44Z</dcterms:created>
  <dcterms:modified xsi:type="dcterms:W3CDTF">2026-02-05T03:51:44Z</dcterms:modified>
</cp:coreProperties>
</file>