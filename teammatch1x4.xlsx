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IMP Table" sheetId="3" state="visible" r:id="rId3"/>
    <sheet name="Scoring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0.0"/>
    <numFmt numFmtId="165" formatCode="#0"/>
  </numFmts>
  <fonts count="4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i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1" t="inlineStr">
        <is>
          <t>For public domain. No rights reserved. Generated on Mar 07, 2026.</t>
        </is>
      </c>
    </row>
    <row r="2">
      <c r="A2" s="2" t="inlineStr">
        <is>
          <t>Team Match</t>
        </is>
      </c>
    </row>
    <row r="3">
      <c r="A3" s="3" t="inlineStr">
        <is>
          <t>Pairs</t>
        </is>
      </c>
      <c r="C3" s="3" t="n">
        <v>4</v>
      </c>
    </row>
    <row r="4">
      <c r="A4" s="3" t="inlineStr">
        <is>
          <t>Rounds</t>
        </is>
      </c>
      <c r="C4" s="3" t="n">
        <v>4</v>
      </c>
    </row>
    <row r="5">
      <c r="A5" s="3" t="inlineStr">
        <is>
          <t>Boards per Round</t>
        </is>
      </c>
      <c r="C5" s="3" t="n">
        <v>4</v>
      </c>
    </row>
    <row r="7">
      <c r="A7" s="2" t="inlineStr">
        <is>
          <t>Pairs</t>
        </is>
      </c>
      <c r="D7" s="2" t="inlineStr">
        <is>
          <t>IMP</t>
        </is>
      </c>
    </row>
    <row r="8">
      <c r="A8" s="2" t="n">
        <v>1</v>
      </c>
      <c r="B8" t="inlineStr">
        <is>
          <t>Name 18</t>
        </is>
      </c>
      <c r="C8" t="inlineStr">
        <is>
          <t>Name 18</t>
        </is>
      </c>
      <c r="D8">
        <f>SUMIF('By Board'!D3:D19,"="&amp;A8,'By Board'!L3:L19)+SUMIF('By Board'!E3:E19,"="&amp;A8,'By Board'!M3:M19)</f>
        <v/>
      </c>
    </row>
    <row r="9">
      <c r="A9" s="2" t="n">
        <v>2</v>
      </c>
      <c r="B9" t="inlineStr">
        <is>
          <t>Name 29</t>
        </is>
      </c>
      <c r="C9" t="inlineStr">
        <is>
          <t>Name 90</t>
        </is>
      </c>
      <c r="D9">
        <f>SUMIF('By Board'!D3:D19,"="&amp;A9,'By Board'!L3:L19)+SUMIF('By Board'!E3:E19,"="&amp;A9,'By Board'!M3:M19)</f>
        <v/>
      </c>
    </row>
    <row r="10">
      <c r="A10" s="2" t="n">
        <v>3</v>
      </c>
      <c r="B10" t="inlineStr">
        <is>
          <t>Name 73</t>
        </is>
      </c>
      <c r="C10" t="inlineStr">
        <is>
          <t>Name 43</t>
        </is>
      </c>
      <c r="D10">
        <f>SUMIF('By Board'!D3:D19,"="&amp;A10,'By Board'!L3:L19)+SUMIF('By Board'!E3:E19,"="&amp;A10,'By Board'!M3:M19)</f>
        <v/>
      </c>
    </row>
    <row r="11">
      <c r="A11" s="4" t="n">
        <v>4</v>
      </c>
      <c r="B11" s="5" t="inlineStr">
        <is>
          <t>Name 13</t>
        </is>
      </c>
      <c r="C11" s="5" t="inlineStr">
        <is>
          <t>Name 37</t>
        </is>
      </c>
      <c r="D11" s="5">
        <f>SUMIF('By Board'!D3:D19,"="&amp;A11,'By Board'!L3:L19)+SUMIF('By Board'!E3:E19,"="&amp;A11,'By Board'!M3:M19)</f>
        <v/>
      </c>
    </row>
    <row r="12">
      <c r="C12" s="6" t="inlineStr">
        <is>
          <t>Sum</t>
        </is>
      </c>
      <c r="D12" s="6">
        <f>SUM(D3:D7)</f>
        <v/>
      </c>
    </row>
  </sheetData>
  <mergeCells count="5">
    <mergeCell ref="A4:B4"/>
    <mergeCell ref="A2:E2"/>
    <mergeCell ref="A5:B5"/>
    <mergeCell ref="A7:C7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J1" s="7" t="inlineStr">
        <is>
          <t>Score</t>
        </is>
      </c>
      <c r="L1" s="7" t="inlineStr">
        <is>
          <t>IMP</t>
        </is>
      </c>
      <c r="N1" s="7" t="inlineStr">
        <is>
          <t>Net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Result</t>
        </is>
      </c>
      <c r="J2" s="2" t="inlineStr">
        <is>
          <t>NS</t>
        </is>
      </c>
      <c r="K2" s="2" t="inlineStr">
        <is>
          <t>EW</t>
        </is>
      </c>
      <c r="L2" s="2" t="inlineStr">
        <is>
          <t>NS</t>
        </is>
      </c>
      <c r="M2" s="2" t="inlineStr">
        <is>
          <t>EW</t>
        </is>
      </c>
      <c r="N2" s="2" t="inlineStr">
        <is>
          <t>NS</t>
        </is>
      </c>
      <c r="O2" s="2" t="inlineStr">
        <is>
          <t>EW</t>
        </is>
      </c>
    </row>
    <row r="3">
      <c r="A3" s="8" t="n">
        <v>1</v>
      </c>
      <c r="B3" s="8" t="n">
        <v>1</v>
      </c>
      <c r="C3" s="8" t="n">
        <v>1</v>
      </c>
      <c r="D3" s="8" t="n">
        <v>1</v>
      </c>
      <c r="E3" s="8" t="n">
        <v>3</v>
      </c>
      <c r="F3" s="8" t="inlineStr">
        <is>
          <t>None</t>
        </is>
      </c>
      <c r="L3" s="9">
        <f>IF(AND(ISNUMBER(N3),ISNUMBER(N4)),VLOOKUP(ABS(N3-N4),'IMP Table'!$A$2:$C$26,3)*SIGN(N3-N4),0)</f>
        <v/>
      </c>
      <c r="M3" s="9">
        <f>IF(AND(ISNUMBER(O3),ISNUMBER(O4)),VLOOKUP(ABS(O3-O4),'IMP Table'!$A$2:$C$26,3)*SIGN(O3-O4),0)</f>
        <v/>
      </c>
      <c r="N3">
        <f>IF(ISNUMBER(J3),J3,IF(ISNUMBER(K3),-K3,""))</f>
        <v/>
      </c>
      <c r="O3">
        <f>IF(ISNUMBER(K3),K3,IF(ISNUMBER(J3),-J3,""))</f>
        <v/>
      </c>
    </row>
    <row r="4">
      <c r="A4" s="5" t="n"/>
      <c r="B4" s="10" t="n">
        <v>2</v>
      </c>
      <c r="C4" s="10" t="n">
        <v>2</v>
      </c>
      <c r="D4" s="10" t="n">
        <v>4</v>
      </c>
      <c r="E4" s="10" t="n">
        <v>2</v>
      </c>
      <c r="F4" s="10" t="inlineStr">
        <is>
          <t>None</t>
        </is>
      </c>
      <c r="G4" s="5" t="n"/>
      <c r="H4" s="5" t="n"/>
      <c r="I4" s="5" t="n"/>
      <c r="J4" s="5" t="n"/>
      <c r="K4" s="5" t="n"/>
      <c r="L4" s="11">
        <f>IF(AND(ISNUMBER(N4),ISNUMBER(N3)),VLOOKUP(ABS(N4-N3),'IMP Table'!$A$2:$C$26,3)*SIGN(N4-N3),0)</f>
        <v/>
      </c>
      <c r="M4" s="11">
        <f>IF(AND(ISNUMBER(O4),ISNUMBER(O3)),VLOOKUP(ABS(O4-O3),'IMP Table'!$A$2:$C$26,3)*SIGN(O4-O3),0)</f>
        <v/>
      </c>
      <c r="N4" s="5">
        <f>IF(ISNUMBER(J4),J4,IF(ISNUMBER(K4),-K4,""))</f>
        <v/>
      </c>
      <c r="O4" s="5">
        <f>IF(ISNUMBER(K4),K4,IF(ISNUMBER(J4),-J4,""))</f>
        <v/>
      </c>
    </row>
    <row r="5">
      <c r="A5" s="8" t="n">
        <v>2</v>
      </c>
      <c r="B5" s="8" t="n">
        <v>1</v>
      </c>
      <c r="C5" s="8" t="n">
        <v>1</v>
      </c>
      <c r="D5" s="8" t="n">
        <v>1</v>
      </c>
      <c r="E5" s="8" t="n">
        <v>3</v>
      </c>
      <c r="F5" s="8" t="inlineStr">
        <is>
          <t>NS</t>
        </is>
      </c>
      <c r="L5" s="9">
        <f>IF(AND(ISNUMBER(N5),ISNUMBER(N6)),VLOOKUP(ABS(N5-N6),'IMP Table'!$A$2:$C$26,3)*SIGN(N5-N6),0)</f>
        <v/>
      </c>
      <c r="M5" s="9">
        <f>IF(AND(ISNUMBER(O5),ISNUMBER(O6)),VLOOKUP(ABS(O5-O6),'IMP Table'!$A$2:$C$26,3)*SIGN(O5-O6),0)</f>
        <v/>
      </c>
      <c r="N5">
        <f>IF(ISNUMBER(J5),J5,IF(ISNUMBER(K5),-K5,""))</f>
        <v/>
      </c>
      <c r="O5">
        <f>IF(ISNUMBER(K5),K5,IF(ISNUMBER(J5),-J5,""))</f>
        <v/>
      </c>
    </row>
    <row r="6">
      <c r="A6" s="5" t="n"/>
      <c r="B6" s="10" t="n">
        <v>2</v>
      </c>
      <c r="C6" s="10" t="n">
        <v>2</v>
      </c>
      <c r="D6" s="10" t="n">
        <v>4</v>
      </c>
      <c r="E6" s="10" t="n">
        <v>2</v>
      </c>
      <c r="F6" s="10" t="inlineStr">
        <is>
          <t>NS</t>
        </is>
      </c>
      <c r="G6" s="5" t="n"/>
      <c r="H6" s="5" t="n"/>
      <c r="I6" s="5" t="n"/>
      <c r="J6" s="5" t="n"/>
      <c r="K6" s="5" t="n"/>
      <c r="L6" s="11">
        <f>IF(AND(ISNUMBER(N6),ISNUMBER(N5)),VLOOKUP(ABS(N6-N5),'IMP Table'!$A$2:$C$26,3)*SIGN(N6-N5),0)</f>
        <v/>
      </c>
      <c r="M6" s="11">
        <f>IF(AND(ISNUMBER(O6),ISNUMBER(O5)),VLOOKUP(ABS(O6-O5),'IMP Table'!$A$2:$C$26,3)*SIGN(O6-O5),0)</f>
        <v/>
      </c>
      <c r="N6" s="5">
        <f>IF(ISNUMBER(J6),J6,IF(ISNUMBER(K6),-K6,""))</f>
        <v/>
      </c>
      <c r="O6" s="5">
        <f>IF(ISNUMBER(K6),K6,IF(ISNUMBER(J6),-J6,""))</f>
        <v/>
      </c>
    </row>
    <row r="7">
      <c r="A7" s="8" t="n">
        <v>3</v>
      </c>
      <c r="B7" s="8" t="n">
        <v>1</v>
      </c>
      <c r="C7" s="8" t="n">
        <v>1</v>
      </c>
      <c r="D7" s="8" t="n">
        <v>1</v>
      </c>
      <c r="E7" s="8" t="n">
        <v>3</v>
      </c>
      <c r="F7" s="8" t="inlineStr">
        <is>
          <t>EW</t>
        </is>
      </c>
      <c r="L7" s="9">
        <f>IF(AND(ISNUMBER(N7),ISNUMBER(N8)),VLOOKUP(ABS(N7-N8),'IMP Table'!$A$2:$C$26,3)*SIGN(N7-N8),0)</f>
        <v/>
      </c>
      <c r="M7" s="9">
        <f>IF(AND(ISNUMBER(O7),ISNUMBER(O8)),VLOOKUP(ABS(O7-O8),'IMP Table'!$A$2:$C$26,3)*SIGN(O7-O8),0)</f>
        <v/>
      </c>
      <c r="N7">
        <f>IF(ISNUMBER(J7),J7,IF(ISNUMBER(K7),-K7,""))</f>
        <v/>
      </c>
      <c r="O7">
        <f>IF(ISNUMBER(K7),K7,IF(ISNUMBER(J7),-J7,""))</f>
        <v/>
      </c>
    </row>
    <row r="8">
      <c r="A8" s="5" t="n"/>
      <c r="B8" s="10" t="n">
        <v>2</v>
      </c>
      <c r="C8" s="10" t="n">
        <v>2</v>
      </c>
      <c r="D8" s="10" t="n">
        <v>4</v>
      </c>
      <c r="E8" s="10" t="n">
        <v>2</v>
      </c>
      <c r="F8" s="10" t="inlineStr">
        <is>
          <t>EW</t>
        </is>
      </c>
      <c r="G8" s="5" t="n"/>
      <c r="H8" s="5" t="n"/>
      <c r="I8" s="5" t="n"/>
      <c r="J8" s="5" t="n"/>
      <c r="K8" s="5" t="n"/>
      <c r="L8" s="11">
        <f>IF(AND(ISNUMBER(N8),ISNUMBER(N7)),VLOOKUP(ABS(N8-N7),'IMP Table'!$A$2:$C$26,3)*SIGN(N8-N7),0)</f>
        <v/>
      </c>
      <c r="M8" s="11">
        <f>IF(AND(ISNUMBER(O8),ISNUMBER(O7)),VLOOKUP(ABS(O8-O7),'IMP Table'!$A$2:$C$26,3)*SIGN(O8-O7),0)</f>
        <v/>
      </c>
      <c r="N8" s="5">
        <f>IF(ISNUMBER(J8),J8,IF(ISNUMBER(K8),-K8,""))</f>
        <v/>
      </c>
      <c r="O8" s="5">
        <f>IF(ISNUMBER(K8),K8,IF(ISNUMBER(J8),-J8,""))</f>
        <v/>
      </c>
    </row>
    <row r="9">
      <c r="A9" s="8" t="n">
        <v>4</v>
      </c>
      <c r="B9" s="8" t="n">
        <v>1</v>
      </c>
      <c r="C9" s="8" t="n">
        <v>1</v>
      </c>
      <c r="D9" s="8" t="n">
        <v>1</v>
      </c>
      <c r="E9" s="8" t="n">
        <v>3</v>
      </c>
      <c r="F9" s="8" t="inlineStr">
        <is>
          <t>Both</t>
        </is>
      </c>
      <c r="L9" s="9">
        <f>IF(AND(ISNUMBER(N9),ISNUMBER(N10)),VLOOKUP(ABS(N9-N10),'IMP Table'!$A$2:$C$26,3)*SIGN(N9-N10),0)</f>
        <v/>
      </c>
      <c r="M9" s="9">
        <f>IF(AND(ISNUMBER(O9),ISNUMBER(O10)),VLOOKUP(ABS(O9-O10),'IMP Table'!$A$2:$C$26,3)*SIGN(O9-O10),0)</f>
        <v/>
      </c>
      <c r="N9">
        <f>IF(ISNUMBER(J9),J9,IF(ISNUMBER(K9),-K9,""))</f>
        <v/>
      </c>
      <c r="O9">
        <f>IF(ISNUMBER(K9),K9,IF(ISNUMBER(J9),-J9,""))</f>
        <v/>
      </c>
    </row>
    <row r="10">
      <c r="A10" s="5" t="n"/>
      <c r="B10" s="10" t="n">
        <v>2</v>
      </c>
      <c r="C10" s="10" t="n">
        <v>2</v>
      </c>
      <c r="D10" s="10" t="n">
        <v>4</v>
      </c>
      <c r="E10" s="10" t="n">
        <v>2</v>
      </c>
      <c r="F10" s="10" t="inlineStr">
        <is>
          <t>Both</t>
        </is>
      </c>
      <c r="G10" s="5" t="n"/>
      <c r="H10" s="5" t="n"/>
      <c r="I10" s="5" t="n"/>
      <c r="J10" s="5" t="n"/>
      <c r="K10" s="5" t="n"/>
      <c r="L10" s="11">
        <f>IF(AND(ISNUMBER(N10),ISNUMBER(N9)),VLOOKUP(ABS(N10-N9),'IMP Table'!$A$2:$C$26,3)*SIGN(N10-N9),0)</f>
        <v/>
      </c>
      <c r="M10" s="11">
        <f>IF(AND(ISNUMBER(O10),ISNUMBER(O9)),VLOOKUP(ABS(O10-O9),'IMP Table'!$A$2:$C$26,3)*SIGN(O10-O9),0)</f>
        <v/>
      </c>
      <c r="N10" s="5">
        <f>IF(ISNUMBER(J10),J10,IF(ISNUMBER(K10),-K10,""))</f>
        <v/>
      </c>
      <c r="O10" s="5">
        <f>IF(ISNUMBER(K10),K10,IF(ISNUMBER(J10),-J10,""))</f>
        <v/>
      </c>
    </row>
    <row r="11">
      <c r="A11" s="8" t="n">
        <v>5</v>
      </c>
      <c r="B11" s="8" t="n">
        <v>1</v>
      </c>
      <c r="C11" s="8" t="n">
        <v>2</v>
      </c>
      <c r="D11" s="8" t="n">
        <v>4</v>
      </c>
      <c r="E11" s="8" t="n">
        <v>2</v>
      </c>
      <c r="F11" s="8" t="inlineStr">
        <is>
          <t>NS</t>
        </is>
      </c>
      <c r="L11" s="9">
        <f>IF(AND(ISNUMBER(N11),ISNUMBER(N12)),VLOOKUP(ABS(N11-N12),'IMP Table'!$A$2:$C$26,3)*SIGN(N11-N12),0)</f>
        <v/>
      </c>
      <c r="M11" s="9">
        <f>IF(AND(ISNUMBER(O11),ISNUMBER(O12)),VLOOKUP(ABS(O11-O12),'IMP Table'!$A$2:$C$26,3)*SIGN(O11-O12),0)</f>
        <v/>
      </c>
      <c r="N11">
        <f>IF(ISNUMBER(J11),J11,IF(ISNUMBER(K11),-K11,""))</f>
        <v/>
      </c>
      <c r="O11">
        <f>IF(ISNUMBER(K11),K11,IF(ISNUMBER(J11),-J11,""))</f>
        <v/>
      </c>
    </row>
    <row r="12">
      <c r="A12" s="5" t="n"/>
      <c r="B12" s="10" t="n">
        <v>2</v>
      </c>
      <c r="C12" s="10" t="n">
        <v>1</v>
      </c>
      <c r="D12" s="10" t="n">
        <v>1</v>
      </c>
      <c r="E12" s="10" t="n">
        <v>3</v>
      </c>
      <c r="F12" s="10" t="inlineStr">
        <is>
          <t>NS</t>
        </is>
      </c>
      <c r="G12" s="5" t="n"/>
      <c r="H12" s="5" t="n"/>
      <c r="I12" s="5" t="n"/>
      <c r="J12" s="5" t="n"/>
      <c r="K12" s="5" t="n"/>
      <c r="L12" s="11">
        <f>IF(AND(ISNUMBER(N12),ISNUMBER(N11)),VLOOKUP(ABS(N12-N11),'IMP Table'!$A$2:$C$26,3)*SIGN(N12-N11),0)</f>
        <v/>
      </c>
      <c r="M12" s="11">
        <f>IF(AND(ISNUMBER(O12),ISNUMBER(O11)),VLOOKUP(ABS(O12-O11),'IMP Table'!$A$2:$C$26,3)*SIGN(O12-O11),0)</f>
        <v/>
      </c>
      <c r="N12" s="5">
        <f>IF(ISNUMBER(J12),J12,IF(ISNUMBER(K12),-K12,""))</f>
        <v/>
      </c>
      <c r="O12" s="5">
        <f>IF(ISNUMBER(K12),K12,IF(ISNUMBER(J12),-J12,""))</f>
        <v/>
      </c>
    </row>
    <row r="13">
      <c r="A13" s="8" t="n">
        <v>6</v>
      </c>
      <c r="B13" s="8" t="n">
        <v>1</v>
      </c>
      <c r="C13" s="8" t="n">
        <v>2</v>
      </c>
      <c r="D13" s="8" t="n">
        <v>4</v>
      </c>
      <c r="E13" s="8" t="n">
        <v>2</v>
      </c>
      <c r="F13" s="8" t="inlineStr">
        <is>
          <t>EW</t>
        </is>
      </c>
      <c r="L13" s="9">
        <f>IF(AND(ISNUMBER(N13),ISNUMBER(N14)),VLOOKUP(ABS(N13-N14),'IMP Table'!$A$2:$C$26,3)*SIGN(N13-N14),0)</f>
        <v/>
      </c>
      <c r="M13" s="9">
        <f>IF(AND(ISNUMBER(O13),ISNUMBER(O14)),VLOOKUP(ABS(O13-O14),'IMP Table'!$A$2:$C$26,3)*SIGN(O13-O14),0)</f>
        <v/>
      </c>
      <c r="N13">
        <f>IF(ISNUMBER(J13),J13,IF(ISNUMBER(K13),-K13,""))</f>
        <v/>
      </c>
      <c r="O13">
        <f>IF(ISNUMBER(K13),K13,IF(ISNUMBER(J13),-J13,""))</f>
        <v/>
      </c>
    </row>
    <row r="14">
      <c r="A14" s="5" t="n"/>
      <c r="B14" s="10" t="n">
        <v>2</v>
      </c>
      <c r="C14" s="10" t="n">
        <v>1</v>
      </c>
      <c r="D14" s="10" t="n">
        <v>1</v>
      </c>
      <c r="E14" s="10" t="n">
        <v>3</v>
      </c>
      <c r="F14" s="10" t="inlineStr">
        <is>
          <t>EW</t>
        </is>
      </c>
      <c r="G14" s="5" t="n"/>
      <c r="H14" s="5" t="n"/>
      <c r="I14" s="5" t="n"/>
      <c r="J14" s="5" t="n"/>
      <c r="K14" s="5" t="n"/>
      <c r="L14" s="11">
        <f>IF(AND(ISNUMBER(N14),ISNUMBER(N13)),VLOOKUP(ABS(N14-N13),'IMP Table'!$A$2:$C$26,3)*SIGN(N14-N13),0)</f>
        <v/>
      </c>
      <c r="M14" s="11">
        <f>IF(AND(ISNUMBER(O14),ISNUMBER(O13)),VLOOKUP(ABS(O14-O13),'IMP Table'!$A$2:$C$26,3)*SIGN(O14-O13),0)</f>
        <v/>
      </c>
      <c r="N14" s="5">
        <f>IF(ISNUMBER(J14),J14,IF(ISNUMBER(K14),-K14,""))</f>
        <v/>
      </c>
      <c r="O14" s="5">
        <f>IF(ISNUMBER(K14),K14,IF(ISNUMBER(J14),-J14,""))</f>
        <v/>
      </c>
    </row>
    <row r="15">
      <c r="A15" s="8" t="n">
        <v>7</v>
      </c>
      <c r="B15" s="8" t="n">
        <v>1</v>
      </c>
      <c r="C15" s="8" t="n">
        <v>2</v>
      </c>
      <c r="D15" s="8" t="n">
        <v>4</v>
      </c>
      <c r="E15" s="8" t="n">
        <v>2</v>
      </c>
      <c r="F15" s="8" t="inlineStr">
        <is>
          <t>Both</t>
        </is>
      </c>
      <c r="L15" s="9">
        <f>IF(AND(ISNUMBER(N15),ISNUMBER(N16)),VLOOKUP(ABS(N15-N16),'IMP Table'!$A$2:$C$26,3)*SIGN(N15-N16),0)</f>
        <v/>
      </c>
      <c r="M15" s="9">
        <f>IF(AND(ISNUMBER(O15),ISNUMBER(O16)),VLOOKUP(ABS(O15-O16),'IMP Table'!$A$2:$C$26,3)*SIGN(O15-O16),0)</f>
        <v/>
      </c>
      <c r="N15">
        <f>IF(ISNUMBER(J15),J15,IF(ISNUMBER(K15),-K15,""))</f>
        <v/>
      </c>
      <c r="O15">
        <f>IF(ISNUMBER(K15),K15,IF(ISNUMBER(J15),-J15,""))</f>
        <v/>
      </c>
    </row>
    <row r="16">
      <c r="A16" s="5" t="n"/>
      <c r="B16" s="10" t="n">
        <v>2</v>
      </c>
      <c r="C16" s="10" t="n">
        <v>1</v>
      </c>
      <c r="D16" s="10" t="n">
        <v>1</v>
      </c>
      <c r="E16" s="10" t="n">
        <v>3</v>
      </c>
      <c r="F16" s="10" t="inlineStr">
        <is>
          <t>Both</t>
        </is>
      </c>
      <c r="G16" s="5" t="n"/>
      <c r="H16" s="5" t="n"/>
      <c r="I16" s="5" t="n"/>
      <c r="J16" s="5" t="n"/>
      <c r="K16" s="5" t="n"/>
      <c r="L16" s="11">
        <f>IF(AND(ISNUMBER(N16),ISNUMBER(N15)),VLOOKUP(ABS(N16-N15),'IMP Table'!$A$2:$C$26,3)*SIGN(N16-N15),0)</f>
        <v/>
      </c>
      <c r="M16" s="11">
        <f>IF(AND(ISNUMBER(O16),ISNUMBER(O15)),VLOOKUP(ABS(O16-O15),'IMP Table'!$A$2:$C$26,3)*SIGN(O16-O15),0)</f>
        <v/>
      </c>
      <c r="N16" s="5">
        <f>IF(ISNUMBER(J16),J16,IF(ISNUMBER(K16),-K16,""))</f>
        <v/>
      </c>
      <c r="O16" s="5">
        <f>IF(ISNUMBER(K16),K16,IF(ISNUMBER(J16),-J16,""))</f>
        <v/>
      </c>
    </row>
    <row r="17">
      <c r="A17" s="8" t="n">
        <v>8</v>
      </c>
      <c r="B17" s="8" t="n">
        <v>1</v>
      </c>
      <c r="C17" s="8" t="n">
        <v>2</v>
      </c>
      <c r="D17" s="8" t="n">
        <v>4</v>
      </c>
      <c r="E17" s="8" t="n">
        <v>2</v>
      </c>
      <c r="F17" s="8" t="inlineStr">
        <is>
          <t>None</t>
        </is>
      </c>
      <c r="L17" s="9">
        <f>IF(AND(ISNUMBER(N17),ISNUMBER(N18)),VLOOKUP(ABS(N17-N18),'IMP Table'!$A$2:$C$26,3)*SIGN(N17-N18),0)</f>
        <v/>
      </c>
      <c r="M17" s="9">
        <f>IF(AND(ISNUMBER(O17),ISNUMBER(O18)),VLOOKUP(ABS(O17-O18),'IMP Table'!$A$2:$C$26,3)*SIGN(O17-O18),0)</f>
        <v/>
      </c>
      <c r="N17">
        <f>IF(ISNUMBER(J17),J17,IF(ISNUMBER(K17),-K17,""))</f>
        <v/>
      </c>
      <c r="O17">
        <f>IF(ISNUMBER(K17),K17,IF(ISNUMBER(J17),-J17,""))</f>
        <v/>
      </c>
    </row>
    <row r="18">
      <c r="A18" s="5" t="n"/>
      <c r="B18" s="10" t="n">
        <v>2</v>
      </c>
      <c r="C18" s="10" t="n">
        <v>1</v>
      </c>
      <c r="D18" s="10" t="n">
        <v>1</v>
      </c>
      <c r="E18" s="10" t="n">
        <v>3</v>
      </c>
      <c r="F18" s="10" t="inlineStr">
        <is>
          <t>None</t>
        </is>
      </c>
      <c r="G18" s="5" t="n"/>
      <c r="H18" s="5" t="n"/>
      <c r="I18" s="5" t="n"/>
      <c r="J18" s="5" t="n"/>
      <c r="K18" s="5" t="n"/>
      <c r="L18" s="11">
        <f>IF(AND(ISNUMBER(N18),ISNUMBER(N17)),VLOOKUP(ABS(N18-N17),'IMP Table'!$A$2:$C$26,3)*SIGN(N18-N17),0)</f>
        <v/>
      </c>
      <c r="M18" s="11">
        <f>IF(AND(ISNUMBER(O18),ISNUMBER(O17)),VLOOKUP(ABS(O18-O17),'IMP Table'!$A$2:$C$26,3)*SIGN(O18-O17),0)</f>
        <v/>
      </c>
      <c r="N18" s="5">
        <f>IF(ISNUMBER(J18),J18,IF(ISNUMBER(K18),-K18,""))</f>
        <v/>
      </c>
      <c r="O18" s="5">
        <f>IF(ISNUMBER(K18),K18,IF(ISNUMBER(J18),-J18,""))</f>
        <v/>
      </c>
    </row>
    <row r="19">
      <c r="A19" s="8" t="n">
        <v>9</v>
      </c>
      <c r="B19" s="8" t="n">
        <v>3</v>
      </c>
      <c r="C19" s="8" t="n">
        <v>1</v>
      </c>
      <c r="D19" s="8" t="n">
        <v>1</v>
      </c>
      <c r="E19" s="8" t="n">
        <v>4</v>
      </c>
      <c r="F19" s="8" t="inlineStr">
        <is>
          <t>EW</t>
        </is>
      </c>
      <c r="L19" s="9">
        <f>IF(AND(ISNUMBER(N19),ISNUMBER(N20)),VLOOKUP(ABS(N19-N20),'IMP Table'!$A$2:$C$26,3)*SIGN(N19-N20),0)</f>
        <v/>
      </c>
      <c r="M19" s="9">
        <f>IF(AND(ISNUMBER(O19),ISNUMBER(O20)),VLOOKUP(ABS(O19-O20),'IMP Table'!$A$2:$C$26,3)*SIGN(O19-O20),0)</f>
        <v/>
      </c>
      <c r="N19">
        <f>IF(ISNUMBER(J19),J19,IF(ISNUMBER(K19),-K19,""))</f>
        <v/>
      </c>
      <c r="O19">
        <f>IF(ISNUMBER(K19),K19,IF(ISNUMBER(J19),-J19,""))</f>
        <v/>
      </c>
    </row>
    <row r="20">
      <c r="A20" s="5" t="n"/>
      <c r="B20" s="10" t="n">
        <v>4</v>
      </c>
      <c r="C20" s="10" t="n">
        <v>2</v>
      </c>
      <c r="D20" s="10" t="n">
        <v>3</v>
      </c>
      <c r="E20" s="10" t="n">
        <v>2</v>
      </c>
      <c r="F20" s="10" t="inlineStr">
        <is>
          <t>EW</t>
        </is>
      </c>
      <c r="G20" s="5" t="n"/>
      <c r="H20" s="5" t="n"/>
      <c r="I20" s="5" t="n"/>
      <c r="J20" s="5" t="n"/>
      <c r="K20" s="5" t="n"/>
      <c r="L20" s="11">
        <f>IF(AND(ISNUMBER(N20),ISNUMBER(N19)),VLOOKUP(ABS(N20-N19),'IMP Table'!$A$2:$C$26,3)*SIGN(N20-N19),0)</f>
        <v/>
      </c>
      <c r="M20" s="11">
        <f>IF(AND(ISNUMBER(O20),ISNUMBER(O19)),VLOOKUP(ABS(O20-O19),'IMP Table'!$A$2:$C$26,3)*SIGN(O20-O19),0)</f>
        <v/>
      </c>
      <c r="N20" s="5">
        <f>IF(ISNUMBER(J20),J20,IF(ISNUMBER(K20),-K20,""))</f>
        <v/>
      </c>
      <c r="O20" s="5">
        <f>IF(ISNUMBER(K20),K20,IF(ISNUMBER(J20),-J20,""))</f>
        <v/>
      </c>
    </row>
    <row r="21">
      <c r="A21" s="8" t="n">
        <v>10</v>
      </c>
      <c r="B21" s="8" t="n">
        <v>3</v>
      </c>
      <c r="C21" s="8" t="n">
        <v>1</v>
      </c>
      <c r="D21" s="8" t="n">
        <v>1</v>
      </c>
      <c r="E21" s="8" t="n">
        <v>4</v>
      </c>
      <c r="F21" s="8" t="inlineStr">
        <is>
          <t>Both</t>
        </is>
      </c>
      <c r="L21" s="9">
        <f>IF(AND(ISNUMBER(N21),ISNUMBER(N22)),VLOOKUP(ABS(N21-N22),'IMP Table'!$A$2:$C$26,3)*SIGN(N21-N22),0)</f>
        <v/>
      </c>
      <c r="M21" s="9">
        <f>IF(AND(ISNUMBER(O21),ISNUMBER(O22)),VLOOKUP(ABS(O21-O22),'IMP Table'!$A$2:$C$26,3)*SIGN(O21-O22),0)</f>
        <v/>
      </c>
      <c r="N21">
        <f>IF(ISNUMBER(J21),J21,IF(ISNUMBER(K21),-K21,""))</f>
        <v/>
      </c>
      <c r="O21">
        <f>IF(ISNUMBER(K21),K21,IF(ISNUMBER(J21),-J21,""))</f>
        <v/>
      </c>
    </row>
    <row r="22">
      <c r="A22" s="5" t="n"/>
      <c r="B22" s="10" t="n">
        <v>4</v>
      </c>
      <c r="C22" s="10" t="n">
        <v>2</v>
      </c>
      <c r="D22" s="10" t="n">
        <v>3</v>
      </c>
      <c r="E22" s="10" t="n">
        <v>2</v>
      </c>
      <c r="F22" s="10" t="inlineStr">
        <is>
          <t>Both</t>
        </is>
      </c>
      <c r="G22" s="5" t="n"/>
      <c r="H22" s="5" t="n"/>
      <c r="I22" s="5" t="n"/>
      <c r="J22" s="5" t="n"/>
      <c r="K22" s="5" t="n"/>
      <c r="L22" s="11">
        <f>IF(AND(ISNUMBER(N22),ISNUMBER(N21)),VLOOKUP(ABS(N22-N21),'IMP Table'!$A$2:$C$26,3)*SIGN(N22-N21),0)</f>
        <v/>
      </c>
      <c r="M22" s="11">
        <f>IF(AND(ISNUMBER(O22),ISNUMBER(O21)),VLOOKUP(ABS(O22-O21),'IMP Table'!$A$2:$C$26,3)*SIGN(O22-O21),0)</f>
        <v/>
      </c>
      <c r="N22" s="5">
        <f>IF(ISNUMBER(J22),J22,IF(ISNUMBER(K22),-K22,""))</f>
        <v/>
      </c>
      <c r="O22" s="5">
        <f>IF(ISNUMBER(K22),K22,IF(ISNUMBER(J22),-J22,""))</f>
        <v/>
      </c>
    </row>
    <row r="23">
      <c r="A23" s="8" t="n">
        <v>11</v>
      </c>
      <c r="B23" s="8" t="n">
        <v>3</v>
      </c>
      <c r="C23" s="8" t="n">
        <v>1</v>
      </c>
      <c r="D23" s="8" t="n">
        <v>1</v>
      </c>
      <c r="E23" s="8" t="n">
        <v>4</v>
      </c>
      <c r="F23" s="8" t="inlineStr">
        <is>
          <t>None</t>
        </is>
      </c>
      <c r="L23" s="9">
        <f>IF(AND(ISNUMBER(N23),ISNUMBER(N24)),VLOOKUP(ABS(N23-N24),'IMP Table'!$A$2:$C$26,3)*SIGN(N23-N24),0)</f>
        <v/>
      </c>
      <c r="M23" s="9">
        <f>IF(AND(ISNUMBER(O23),ISNUMBER(O24)),VLOOKUP(ABS(O23-O24),'IMP Table'!$A$2:$C$26,3)*SIGN(O23-O24),0)</f>
        <v/>
      </c>
      <c r="N23">
        <f>IF(ISNUMBER(J23),J23,IF(ISNUMBER(K23),-K23,""))</f>
        <v/>
      </c>
      <c r="O23">
        <f>IF(ISNUMBER(K23),K23,IF(ISNUMBER(J23),-J23,""))</f>
        <v/>
      </c>
    </row>
    <row r="24">
      <c r="A24" s="5" t="n"/>
      <c r="B24" s="10" t="n">
        <v>4</v>
      </c>
      <c r="C24" s="10" t="n">
        <v>2</v>
      </c>
      <c r="D24" s="10" t="n">
        <v>3</v>
      </c>
      <c r="E24" s="10" t="n">
        <v>2</v>
      </c>
      <c r="F24" s="10" t="inlineStr">
        <is>
          <t>None</t>
        </is>
      </c>
      <c r="G24" s="5" t="n"/>
      <c r="H24" s="5" t="n"/>
      <c r="I24" s="5" t="n"/>
      <c r="J24" s="5" t="n"/>
      <c r="K24" s="5" t="n"/>
      <c r="L24" s="11">
        <f>IF(AND(ISNUMBER(N24),ISNUMBER(N23)),VLOOKUP(ABS(N24-N23),'IMP Table'!$A$2:$C$26,3)*SIGN(N24-N23),0)</f>
        <v/>
      </c>
      <c r="M24" s="11">
        <f>IF(AND(ISNUMBER(O24),ISNUMBER(O23)),VLOOKUP(ABS(O24-O23),'IMP Table'!$A$2:$C$26,3)*SIGN(O24-O23),0)</f>
        <v/>
      </c>
      <c r="N24" s="5">
        <f>IF(ISNUMBER(J24),J24,IF(ISNUMBER(K24),-K24,""))</f>
        <v/>
      </c>
      <c r="O24" s="5">
        <f>IF(ISNUMBER(K24),K24,IF(ISNUMBER(J24),-J24,""))</f>
        <v/>
      </c>
    </row>
    <row r="25">
      <c r="A25" s="8" t="n">
        <v>12</v>
      </c>
      <c r="B25" s="8" t="n">
        <v>3</v>
      </c>
      <c r="C25" s="8" t="n">
        <v>1</v>
      </c>
      <c r="D25" s="8" t="n">
        <v>1</v>
      </c>
      <c r="E25" s="8" t="n">
        <v>4</v>
      </c>
      <c r="F25" s="8" t="inlineStr">
        <is>
          <t>NS</t>
        </is>
      </c>
      <c r="L25" s="9">
        <f>IF(AND(ISNUMBER(N25),ISNUMBER(N26)),VLOOKUP(ABS(N25-N26),'IMP Table'!$A$2:$C$26,3)*SIGN(N25-N26),0)</f>
        <v/>
      </c>
      <c r="M25" s="9">
        <f>IF(AND(ISNUMBER(O25),ISNUMBER(O26)),VLOOKUP(ABS(O25-O26),'IMP Table'!$A$2:$C$26,3)*SIGN(O25-O26),0)</f>
        <v/>
      </c>
      <c r="N25">
        <f>IF(ISNUMBER(J25),J25,IF(ISNUMBER(K25),-K25,""))</f>
        <v/>
      </c>
      <c r="O25">
        <f>IF(ISNUMBER(K25),K25,IF(ISNUMBER(J25),-J25,""))</f>
        <v/>
      </c>
    </row>
    <row r="26">
      <c r="A26" s="5" t="n"/>
      <c r="B26" s="10" t="n">
        <v>4</v>
      </c>
      <c r="C26" s="10" t="n">
        <v>2</v>
      </c>
      <c r="D26" s="10" t="n">
        <v>3</v>
      </c>
      <c r="E26" s="10" t="n">
        <v>2</v>
      </c>
      <c r="F26" s="10" t="inlineStr">
        <is>
          <t>NS</t>
        </is>
      </c>
      <c r="G26" s="5" t="n"/>
      <c r="H26" s="5" t="n"/>
      <c r="I26" s="5" t="n"/>
      <c r="J26" s="5" t="n"/>
      <c r="K26" s="5" t="n"/>
      <c r="L26" s="11">
        <f>IF(AND(ISNUMBER(N26),ISNUMBER(N25)),VLOOKUP(ABS(N26-N25),'IMP Table'!$A$2:$C$26,3)*SIGN(N26-N25),0)</f>
        <v/>
      </c>
      <c r="M26" s="11">
        <f>IF(AND(ISNUMBER(O26),ISNUMBER(O25)),VLOOKUP(ABS(O26-O25),'IMP Table'!$A$2:$C$26,3)*SIGN(O26-O25),0)</f>
        <v/>
      </c>
      <c r="N26" s="5">
        <f>IF(ISNUMBER(J26),J26,IF(ISNUMBER(K26),-K26,""))</f>
        <v/>
      </c>
      <c r="O26" s="5">
        <f>IF(ISNUMBER(K26),K26,IF(ISNUMBER(J26),-J26,""))</f>
        <v/>
      </c>
    </row>
    <row r="27">
      <c r="A27" s="8" t="n">
        <v>13</v>
      </c>
      <c r="B27" s="8" t="n">
        <v>3</v>
      </c>
      <c r="C27" s="8" t="n">
        <v>2</v>
      </c>
      <c r="D27" s="8" t="n">
        <v>3</v>
      </c>
      <c r="E27" s="8" t="n">
        <v>2</v>
      </c>
      <c r="F27" s="8" t="inlineStr">
        <is>
          <t>Both</t>
        </is>
      </c>
      <c r="L27" s="9">
        <f>IF(AND(ISNUMBER(N27),ISNUMBER(N28)),VLOOKUP(ABS(N27-N28),'IMP Table'!$A$2:$C$26,3)*SIGN(N27-N28),0)</f>
        <v/>
      </c>
      <c r="M27" s="9">
        <f>IF(AND(ISNUMBER(O27),ISNUMBER(O28)),VLOOKUP(ABS(O27-O28),'IMP Table'!$A$2:$C$26,3)*SIGN(O27-O28),0)</f>
        <v/>
      </c>
      <c r="N27">
        <f>IF(ISNUMBER(J27),J27,IF(ISNUMBER(K27),-K27,""))</f>
        <v/>
      </c>
      <c r="O27">
        <f>IF(ISNUMBER(K27),K27,IF(ISNUMBER(J27),-J27,""))</f>
        <v/>
      </c>
    </row>
    <row r="28">
      <c r="A28" s="5" t="n"/>
      <c r="B28" s="10" t="n">
        <v>4</v>
      </c>
      <c r="C28" s="10" t="n">
        <v>1</v>
      </c>
      <c r="D28" s="10" t="n">
        <v>1</v>
      </c>
      <c r="E28" s="10" t="n">
        <v>4</v>
      </c>
      <c r="F28" s="10" t="inlineStr">
        <is>
          <t>Both</t>
        </is>
      </c>
      <c r="G28" s="5" t="n"/>
      <c r="H28" s="5" t="n"/>
      <c r="I28" s="5" t="n"/>
      <c r="J28" s="5" t="n"/>
      <c r="K28" s="5" t="n"/>
      <c r="L28" s="11">
        <f>IF(AND(ISNUMBER(N28),ISNUMBER(N27)),VLOOKUP(ABS(N28-N27),'IMP Table'!$A$2:$C$26,3)*SIGN(N28-N27),0)</f>
        <v/>
      </c>
      <c r="M28" s="11">
        <f>IF(AND(ISNUMBER(O28),ISNUMBER(O27)),VLOOKUP(ABS(O28-O27),'IMP Table'!$A$2:$C$26,3)*SIGN(O28-O27),0)</f>
        <v/>
      </c>
      <c r="N28" s="5">
        <f>IF(ISNUMBER(J28),J28,IF(ISNUMBER(K28),-K28,""))</f>
        <v/>
      </c>
      <c r="O28" s="5">
        <f>IF(ISNUMBER(K28),K28,IF(ISNUMBER(J28),-J28,""))</f>
        <v/>
      </c>
    </row>
    <row r="29">
      <c r="A29" s="8" t="n">
        <v>14</v>
      </c>
      <c r="B29" s="8" t="n">
        <v>3</v>
      </c>
      <c r="C29" s="8" t="n">
        <v>2</v>
      </c>
      <c r="D29" s="8" t="n">
        <v>3</v>
      </c>
      <c r="E29" s="8" t="n">
        <v>2</v>
      </c>
      <c r="F29" s="8" t="inlineStr">
        <is>
          <t>None</t>
        </is>
      </c>
      <c r="L29" s="9">
        <f>IF(AND(ISNUMBER(N29),ISNUMBER(N30)),VLOOKUP(ABS(N29-N30),'IMP Table'!$A$2:$C$26,3)*SIGN(N29-N30),0)</f>
        <v/>
      </c>
      <c r="M29" s="9">
        <f>IF(AND(ISNUMBER(O29),ISNUMBER(O30)),VLOOKUP(ABS(O29-O30),'IMP Table'!$A$2:$C$26,3)*SIGN(O29-O30),0)</f>
        <v/>
      </c>
      <c r="N29">
        <f>IF(ISNUMBER(J29),J29,IF(ISNUMBER(K29),-K29,""))</f>
        <v/>
      </c>
      <c r="O29">
        <f>IF(ISNUMBER(K29),K29,IF(ISNUMBER(J29),-J29,""))</f>
        <v/>
      </c>
    </row>
    <row r="30">
      <c r="A30" s="5" t="n"/>
      <c r="B30" s="10" t="n">
        <v>4</v>
      </c>
      <c r="C30" s="10" t="n">
        <v>1</v>
      </c>
      <c r="D30" s="10" t="n">
        <v>1</v>
      </c>
      <c r="E30" s="10" t="n">
        <v>4</v>
      </c>
      <c r="F30" s="10" t="inlineStr">
        <is>
          <t>None</t>
        </is>
      </c>
      <c r="G30" s="5" t="n"/>
      <c r="H30" s="5" t="n"/>
      <c r="I30" s="5" t="n"/>
      <c r="J30" s="5" t="n"/>
      <c r="K30" s="5" t="n"/>
      <c r="L30" s="11">
        <f>IF(AND(ISNUMBER(N30),ISNUMBER(N29)),VLOOKUP(ABS(N30-N29),'IMP Table'!$A$2:$C$26,3)*SIGN(N30-N29),0)</f>
        <v/>
      </c>
      <c r="M30" s="11">
        <f>IF(AND(ISNUMBER(O30),ISNUMBER(O29)),VLOOKUP(ABS(O30-O29),'IMP Table'!$A$2:$C$26,3)*SIGN(O30-O29),0)</f>
        <v/>
      </c>
      <c r="N30" s="5">
        <f>IF(ISNUMBER(J30),J30,IF(ISNUMBER(K30),-K30,""))</f>
        <v/>
      </c>
      <c r="O30" s="5">
        <f>IF(ISNUMBER(K30),K30,IF(ISNUMBER(J30),-J30,""))</f>
        <v/>
      </c>
    </row>
    <row r="31">
      <c r="A31" s="8" t="n">
        <v>15</v>
      </c>
      <c r="B31" s="8" t="n">
        <v>3</v>
      </c>
      <c r="C31" s="8" t="n">
        <v>2</v>
      </c>
      <c r="D31" s="8" t="n">
        <v>3</v>
      </c>
      <c r="E31" s="8" t="n">
        <v>2</v>
      </c>
      <c r="F31" s="8" t="inlineStr">
        <is>
          <t>NS</t>
        </is>
      </c>
      <c r="L31" s="9">
        <f>IF(AND(ISNUMBER(N31),ISNUMBER(N32)),VLOOKUP(ABS(N31-N32),'IMP Table'!$A$2:$C$26,3)*SIGN(N31-N32),0)</f>
        <v/>
      </c>
      <c r="M31" s="9">
        <f>IF(AND(ISNUMBER(O31),ISNUMBER(O32)),VLOOKUP(ABS(O31-O32),'IMP Table'!$A$2:$C$26,3)*SIGN(O31-O32),0)</f>
        <v/>
      </c>
      <c r="N31">
        <f>IF(ISNUMBER(J31),J31,IF(ISNUMBER(K31),-K31,""))</f>
        <v/>
      </c>
      <c r="O31">
        <f>IF(ISNUMBER(K31),K31,IF(ISNUMBER(J31),-J31,""))</f>
        <v/>
      </c>
    </row>
    <row r="32">
      <c r="A32" s="5" t="n"/>
      <c r="B32" s="10" t="n">
        <v>4</v>
      </c>
      <c r="C32" s="10" t="n">
        <v>1</v>
      </c>
      <c r="D32" s="10" t="n">
        <v>1</v>
      </c>
      <c r="E32" s="10" t="n">
        <v>4</v>
      </c>
      <c r="F32" s="10" t="inlineStr">
        <is>
          <t>NS</t>
        </is>
      </c>
      <c r="G32" s="5" t="n"/>
      <c r="H32" s="5" t="n"/>
      <c r="I32" s="5" t="n"/>
      <c r="J32" s="5" t="n"/>
      <c r="K32" s="5" t="n"/>
      <c r="L32" s="11">
        <f>IF(AND(ISNUMBER(N32),ISNUMBER(N31)),VLOOKUP(ABS(N32-N31),'IMP Table'!$A$2:$C$26,3)*SIGN(N32-N31),0)</f>
        <v/>
      </c>
      <c r="M32" s="11">
        <f>IF(AND(ISNUMBER(O32),ISNUMBER(O31)),VLOOKUP(ABS(O32-O31),'IMP Table'!$A$2:$C$26,3)*SIGN(O32-O31),0)</f>
        <v/>
      </c>
      <c r="N32" s="5">
        <f>IF(ISNUMBER(J32),J32,IF(ISNUMBER(K32),-K32,""))</f>
        <v/>
      </c>
      <c r="O32" s="5">
        <f>IF(ISNUMBER(K32),K32,IF(ISNUMBER(J32),-J32,""))</f>
        <v/>
      </c>
    </row>
    <row r="33">
      <c r="A33" s="8" t="n">
        <v>16</v>
      </c>
      <c r="B33" s="8" t="n">
        <v>3</v>
      </c>
      <c r="C33" s="8" t="n">
        <v>2</v>
      </c>
      <c r="D33" s="8" t="n">
        <v>3</v>
      </c>
      <c r="E33" s="8" t="n">
        <v>2</v>
      </c>
      <c r="F33" s="8" t="inlineStr">
        <is>
          <t>EW</t>
        </is>
      </c>
      <c r="L33" s="9">
        <f>IF(AND(ISNUMBER(N33),ISNUMBER(N34)),VLOOKUP(ABS(N33-N34),'IMP Table'!$A$2:$C$26,3)*SIGN(N33-N34),0)</f>
        <v/>
      </c>
      <c r="M33" s="9">
        <f>IF(AND(ISNUMBER(O33),ISNUMBER(O34)),VLOOKUP(ABS(O33-O34),'IMP Table'!$A$2:$C$26,3)*SIGN(O33-O34),0)</f>
        <v/>
      </c>
      <c r="N33">
        <f>IF(ISNUMBER(J33),J33,IF(ISNUMBER(K33),-K33,""))</f>
        <v/>
      </c>
      <c r="O33">
        <f>IF(ISNUMBER(K33),K33,IF(ISNUMBER(J33),-J33,""))</f>
        <v/>
      </c>
    </row>
    <row r="34">
      <c r="A34" s="5" t="n"/>
      <c r="B34" s="10" t="n">
        <v>4</v>
      </c>
      <c r="C34" s="10" t="n">
        <v>1</v>
      </c>
      <c r="D34" s="10" t="n">
        <v>1</v>
      </c>
      <c r="E34" s="10" t="n">
        <v>4</v>
      </c>
      <c r="F34" s="10" t="inlineStr">
        <is>
          <t>EW</t>
        </is>
      </c>
      <c r="G34" s="5" t="n"/>
      <c r="H34" s="5" t="n"/>
      <c r="I34" s="5" t="n"/>
      <c r="J34" s="5" t="n"/>
      <c r="K34" s="5" t="n"/>
      <c r="L34" s="11">
        <f>IF(AND(ISNUMBER(N34),ISNUMBER(N33)),VLOOKUP(ABS(N34-N33),'IMP Table'!$A$2:$C$26,3)*SIGN(N34-N33),0)</f>
        <v/>
      </c>
      <c r="M34" s="11">
        <f>IF(AND(ISNUMBER(O34),ISNUMBER(O33)),VLOOKUP(ABS(O34-O33),'IMP Table'!$A$2:$C$26,3)*SIGN(O34-O33),0)</f>
        <v/>
      </c>
      <c r="N34" s="5">
        <f>IF(ISNUMBER(J34),J34,IF(ISNUMBER(K34),-K34,""))</f>
        <v/>
      </c>
      <c r="O34" s="5">
        <f>IF(ISNUMBER(K34),K34,IF(ISNUMBER(J34),-J34,""))</f>
        <v/>
      </c>
    </row>
  </sheetData>
  <mergeCells count="3">
    <mergeCell ref="L1:M1"/>
    <mergeCell ref="J1:K1"/>
    <mergeCell ref="N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12" t="n">
        <v>70</v>
      </c>
      <c r="D3" s="12" t="n">
        <v>140</v>
      </c>
      <c r="E3" s="12" t="n">
        <v>230</v>
      </c>
      <c r="F3" s="12" t="n">
        <v>70</v>
      </c>
      <c r="G3" s="12" t="n">
        <v>140</v>
      </c>
      <c r="H3" s="1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12" t="n">
        <v>90</v>
      </c>
      <c r="D4" s="12" t="n">
        <v>240</v>
      </c>
      <c r="E4" s="12" t="n">
        <v>430</v>
      </c>
      <c r="F4" s="12" t="n">
        <v>90</v>
      </c>
      <c r="G4" s="12" t="n">
        <v>340</v>
      </c>
      <c r="H4" s="1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12" t="n">
        <v>110</v>
      </c>
      <c r="D5" s="12" t="n">
        <v>340</v>
      </c>
      <c r="E5" s="12" t="n">
        <v>630</v>
      </c>
      <c r="F5" s="12" t="n">
        <v>110</v>
      </c>
      <c r="G5" s="12" t="n">
        <v>540</v>
      </c>
      <c r="H5" s="1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12" t="n">
        <v>130</v>
      </c>
      <c r="D6" s="12" t="n">
        <v>440</v>
      </c>
      <c r="E6" s="12" t="n">
        <v>830</v>
      </c>
      <c r="F6" s="12" t="n">
        <v>130</v>
      </c>
      <c r="G6" s="12" t="n">
        <v>740</v>
      </c>
      <c r="H6" s="1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12" t="n">
        <v>150</v>
      </c>
      <c r="D7" s="12" t="n">
        <v>540</v>
      </c>
      <c r="E7" s="12" t="n">
        <v>1030</v>
      </c>
      <c r="F7" s="12" t="n">
        <v>150</v>
      </c>
      <c r="G7" s="12" t="n">
        <v>940</v>
      </c>
      <c r="H7" s="1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12" t="n">
        <v>170</v>
      </c>
      <c r="D8" s="12" t="n">
        <v>640</v>
      </c>
      <c r="E8" s="12" t="n">
        <v>1230</v>
      </c>
      <c r="F8" s="12" t="n">
        <v>170</v>
      </c>
      <c r="G8" s="12" t="n">
        <v>1140</v>
      </c>
      <c r="H8" s="1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12" t="n">
        <v>190</v>
      </c>
      <c r="D9" s="12" t="n">
        <v>740</v>
      </c>
      <c r="E9" s="12" t="n">
        <v>1430</v>
      </c>
      <c r="F9" s="12" t="n">
        <v>190</v>
      </c>
      <c r="G9" s="12" t="n">
        <v>1340</v>
      </c>
      <c r="H9" s="1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12" t="n">
        <v>80</v>
      </c>
      <c r="D10" s="12" t="n">
        <v>160</v>
      </c>
      <c r="E10" s="12" t="n">
        <v>520</v>
      </c>
      <c r="F10" s="12" t="n">
        <v>80</v>
      </c>
      <c r="G10" s="12" t="n">
        <v>160</v>
      </c>
      <c r="H10" s="1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12" t="n">
        <v>110</v>
      </c>
      <c r="D11" s="12" t="n">
        <v>260</v>
      </c>
      <c r="E11" s="12" t="n">
        <v>720</v>
      </c>
      <c r="F11" s="12" t="n">
        <v>110</v>
      </c>
      <c r="G11" s="12" t="n">
        <v>360</v>
      </c>
      <c r="H11" s="1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12" t="n">
        <v>140</v>
      </c>
      <c r="D12" s="12" t="n">
        <v>360</v>
      </c>
      <c r="E12" s="12" t="n">
        <v>920</v>
      </c>
      <c r="F12" s="12" t="n">
        <v>140</v>
      </c>
      <c r="G12" s="12" t="n">
        <v>560</v>
      </c>
      <c r="H12" s="1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12" t="n">
        <v>170</v>
      </c>
      <c r="D13" s="12" t="n">
        <v>460</v>
      </c>
      <c r="E13" s="12" t="n">
        <v>1120</v>
      </c>
      <c r="F13" s="12" t="n">
        <v>170</v>
      </c>
      <c r="G13" s="12" t="n">
        <v>760</v>
      </c>
      <c r="H13" s="1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12" t="n">
        <v>200</v>
      </c>
      <c r="D14" s="12" t="n">
        <v>560</v>
      </c>
      <c r="E14" s="12" t="n">
        <v>1320</v>
      </c>
      <c r="F14" s="12" t="n">
        <v>200</v>
      </c>
      <c r="G14" s="12" t="n">
        <v>960</v>
      </c>
      <c r="H14" s="1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12" t="n">
        <v>230</v>
      </c>
      <c r="D15" s="12" t="n">
        <v>660</v>
      </c>
      <c r="E15" s="12" t="n">
        <v>1520</v>
      </c>
      <c r="F15" s="12" t="n">
        <v>230</v>
      </c>
      <c r="G15" s="12" t="n">
        <v>1160</v>
      </c>
      <c r="H15" s="1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12" t="n">
        <v>260</v>
      </c>
      <c r="D16" s="12" t="n">
        <v>760</v>
      </c>
      <c r="E16" s="12" t="n">
        <v>1720</v>
      </c>
      <c r="F16" s="12" t="n">
        <v>260</v>
      </c>
      <c r="G16" s="12" t="n">
        <v>1360</v>
      </c>
      <c r="H16" s="12" t="n">
        <v>3120</v>
      </c>
    </row>
    <row r="17">
      <c r="A17" s="2" t="inlineStr">
        <is>
          <t>1 NT</t>
        </is>
      </c>
      <c r="B17" t="n">
        <v>1</v>
      </c>
      <c r="C17" s="12" t="n">
        <v>90</v>
      </c>
      <c r="D17" s="12" t="n">
        <v>180</v>
      </c>
      <c r="E17" s="12" t="n">
        <v>560</v>
      </c>
      <c r="F17" s="12" t="n">
        <v>90</v>
      </c>
      <c r="G17" s="12" t="n">
        <v>180</v>
      </c>
      <c r="H17" s="12" t="n">
        <v>760</v>
      </c>
    </row>
    <row r="18">
      <c r="B18" t="n">
        <v>2</v>
      </c>
      <c r="C18" s="12" t="n">
        <v>120</v>
      </c>
      <c r="D18" s="12" t="n">
        <v>280</v>
      </c>
      <c r="E18" s="12" t="n">
        <v>760</v>
      </c>
      <c r="F18" s="12" t="n">
        <v>120</v>
      </c>
      <c r="G18" s="12" t="n">
        <v>380</v>
      </c>
      <c r="H18" s="12" t="n">
        <v>1160</v>
      </c>
    </row>
    <row r="19">
      <c r="B19" t="n">
        <v>3</v>
      </c>
      <c r="C19" s="12" t="n">
        <v>150</v>
      </c>
      <c r="D19" s="12" t="n">
        <v>380</v>
      </c>
      <c r="E19" s="12" t="n">
        <v>960</v>
      </c>
      <c r="F19" s="12" t="n">
        <v>150</v>
      </c>
      <c r="G19" s="12" t="n">
        <v>580</v>
      </c>
      <c r="H19" s="12" t="n">
        <v>1560</v>
      </c>
    </row>
    <row r="20">
      <c r="B20" t="n">
        <v>4</v>
      </c>
      <c r="C20" s="12" t="n">
        <v>180</v>
      </c>
      <c r="D20" s="12" t="n">
        <v>480</v>
      </c>
      <c r="E20" s="12" t="n">
        <v>1160</v>
      </c>
      <c r="F20" s="12" t="n">
        <v>180</v>
      </c>
      <c r="G20" s="12" t="n">
        <v>780</v>
      </c>
      <c r="H20" s="12" t="n">
        <v>1960</v>
      </c>
    </row>
    <row r="21">
      <c r="B21" t="n">
        <v>5</v>
      </c>
      <c r="C21" s="12" t="n">
        <v>210</v>
      </c>
      <c r="D21" s="12" t="n">
        <v>580</v>
      </c>
      <c r="E21" s="12" t="n">
        <v>1360</v>
      </c>
      <c r="F21" s="12" t="n">
        <v>210</v>
      </c>
      <c r="G21" s="12" t="n">
        <v>980</v>
      </c>
      <c r="H21" s="12" t="n">
        <v>2360</v>
      </c>
    </row>
    <row r="22">
      <c r="B22" t="n">
        <v>6</v>
      </c>
      <c r="C22" s="12" t="n">
        <v>240</v>
      </c>
      <c r="D22" s="12" t="n">
        <v>680</v>
      </c>
      <c r="E22" s="12" t="n">
        <v>1560</v>
      </c>
      <c r="F22" s="12" t="n">
        <v>240</v>
      </c>
      <c r="G22" s="12" t="n">
        <v>1180</v>
      </c>
      <c r="H22" s="12" t="n">
        <v>2760</v>
      </c>
    </row>
    <row r="23">
      <c r="B23" t="n">
        <v>7</v>
      </c>
      <c r="C23" s="12" t="n">
        <v>270</v>
      </c>
      <c r="D23" s="12" t="n">
        <v>780</v>
      </c>
      <c r="E23" s="12" t="n">
        <v>1760</v>
      </c>
      <c r="F23" s="12" t="n">
        <v>270</v>
      </c>
      <c r="G23" s="12" t="n">
        <v>1380</v>
      </c>
      <c r="H23" s="12" t="n">
        <v>3160</v>
      </c>
    </row>
    <row r="24">
      <c r="A24" s="2" t="inlineStr">
        <is>
          <t>2 D/C</t>
        </is>
      </c>
      <c r="B24" t="n">
        <v>2</v>
      </c>
      <c r="C24" s="12" t="n">
        <v>90</v>
      </c>
      <c r="D24" s="12" t="n">
        <v>180</v>
      </c>
      <c r="E24" s="12" t="n">
        <v>560</v>
      </c>
      <c r="F24" s="12" t="n">
        <v>90</v>
      </c>
      <c r="G24" s="12" t="n">
        <v>180</v>
      </c>
      <c r="H24" s="12" t="n">
        <v>760</v>
      </c>
    </row>
    <row r="25">
      <c r="B25" t="n">
        <v>3</v>
      </c>
      <c r="C25" s="12" t="n">
        <v>110</v>
      </c>
      <c r="D25" s="12" t="n">
        <v>280</v>
      </c>
      <c r="E25" s="12" t="n">
        <v>760</v>
      </c>
      <c r="F25" s="12" t="n">
        <v>110</v>
      </c>
      <c r="G25" s="12" t="n">
        <v>380</v>
      </c>
      <c r="H25" s="12" t="n">
        <v>1160</v>
      </c>
    </row>
    <row r="26">
      <c r="B26" t="n">
        <v>4</v>
      </c>
      <c r="C26" s="12" t="n">
        <v>130</v>
      </c>
      <c r="D26" s="12" t="n">
        <v>380</v>
      </c>
      <c r="E26" s="12" t="n">
        <v>960</v>
      </c>
      <c r="F26" s="12" t="n">
        <v>130</v>
      </c>
      <c r="G26" s="12" t="n">
        <v>580</v>
      </c>
      <c r="H26" s="12" t="n">
        <v>1560</v>
      </c>
    </row>
    <row r="27">
      <c r="B27" t="n">
        <v>5</v>
      </c>
      <c r="C27" s="12" t="n">
        <v>150</v>
      </c>
      <c r="D27" s="12" t="n">
        <v>480</v>
      </c>
      <c r="E27" s="12" t="n">
        <v>1160</v>
      </c>
      <c r="F27" s="12" t="n">
        <v>150</v>
      </c>
      <c r="G27" s="12" t="n">
        <v>780</v>
      </c>
      <c r="H27" s="12" t="n">
        <v>1960</v>
      </c>
    </row>
    <row r="28">
      <c r="B28" t="n">
        <v>6</v>
      </c>
      <c r="C28" s="12" t="n">
        <v>170</v>
      </c>
      <c r="D28" s="12" t="n">
        <v>580</v>
      </c>
      <c r="E28" s="12" t="n">
        <v>1360</v>
      </c>
      <c r="F28" s="12" t="n">
        <v>170</v>
      </c>
      <c r="G28" s="12" t="n">
        <v>980</v>
      </c>
      <c r="H28" s="12" t="n">
        <v>2360</v>
      </c>
    </row>
    <row r="29">
      <c r="B29" t="n">
        <v>7</v>
      </c>
      <c r="C29" s="12" t="n">
        <v>190</v>
      </c>
      <c r="D29" s="12" t="n">
        <v>680</v>
      </c>
      <c r="E29" s="12" t="n">
        <v>1560</v>
      </c>
      <c r="F29" s="12" t="n">
        <v>190</v>
      </c>
      <c r="G29" s="12" t="n">
        <v>1180</v>
      </c>
      <c r="H29" s="12" t="n">
        <v>2760</v>
      </c>
    </row>
    <row r="30">
      <c r="A30" s="2" t="inlineStr">
        <is>
          <t>2 H/S</t>
        </is>
      </c>
      <c r="B30" t="n">
        <v>2</v>
      </c>
      <c r="C30" s="12" t="n">
        <v>110</v>
      </c>
      <c r="D30" s="12" t="n">
        <v>470</v>
      </c>
      <c r="E30" s="12" t="n">
        <v>640</v>
      </c>
      <c r="F30" s="12" t="n">
        <v>110</v>
      </c>
      <c r="G30" s="12" t="n">
        <v>670</v>
      </c>
      <c r="H30" s="12" t="n">
        <v>840</v>
      </c>
    </row>
    <row r="31">
      <c r="B31" t="n">
        <v>3</v>
      </c>
      <c r="C31" s="12" t="n">
        <v>140</v>
      </c>
      <c r="D31" s="12" t="n">
        <v>570</v>
      </c>
      <c r="E31" s="12" t="n">
        <v>840</v>
      </c>
      <c r="F31" s="12" t="n">
        <v>140</v>
      </c>
      <c r="G31" s="12" t="n">
        <v>870</v>
      </c>
      <c r="H31" s="12" t="n">
        <v>1240</v>
      </c>
    </row>
    <row r="32">
      <c r="B32" t="n">
        <v>4</v>
      </c>
      <c r="C32" s="12" t="n">
        <v>170</v>
      </c>
      <c r="D32" s="12" t="n">
        <v>670</v>
      </c>
      <c r="E32" s="12" t="n">
        <v>1040</v>
      </c>
      <c r="F32" s="12" t="n">
        <v>170</v>
      </c>
      <c r="G32" s="12" t="n">
        <v>1070</v>
      </c>
      <c r="H32" s="12" t="n">
        <v>1640</v>
      </c>
    </row>
    <row r="33">
      <c r="B33" t="n">
        <v>5</v>
      </c>
      <c r="C33" s="12" t="n">
        <v>200</v>
      </c>
      <c r="D33" s="12" t="n">
        <v>770</v>
      </c>
      <c r="E33" s="12" t="n">
        <v>1240</v>
      </c>
      <c r="F33" s="12" t="n">
        <v>200</v>
      </c>
      <c r="G33" s="12" t="n">
        <v>1270</v>
      </c>
      <c r="H33" s="12" t="n">
        <v>2040</v>
      </c>
    </row>
    <row r="34">
      <c r="B34" t="n">
        <v>6</v>
      </c>
      <c r="C34" s="12" t="n">
        <v>230</v>
      </c>
      <c r="D34" s="12" t="n">
        <v>870</v>
      </c>
      <c r="E34" s="12" t="n">
        <v>1440</v>
      </c>
      <c r="F34" s="12" t="n">
        <v>230</v>
      </c>
      <c r="G34" s="12" t="n">
        <v>1470</v>
      </c>
      <c r="H34" s="12" t="n">
        <v>2440</v>
      </c>
    </row>
    <row r="35">
      <c r="B35" t="n">
        <v>7</v>
      </c>
      <c r="C35" s="12" t="n">
        <v>260</v>
      </c>
      <c r="D35" s="12" t="n">
        <v>970</v>
      </c>
      <c r="E35" s="12" t="n">
        <v>1640</v>
      </c>
      <c r="F35" s="12" t="n">
        <v>260</v>
      </c>
      <c r="G35" s="12" t="n">
        <v>1670</v>
      </c>
      <c r="H35" s="12" t="n">
        <v>2840</v>
      </c>
    </row>
    <row r="36">
      <c r="A36" s="2" t="inlineStr">
        <is>
          <t>2 NT</t>
        </is>
      </c>
      <c r="B36" t="n">
        <v>2</v>
      </c>
      <c r="C36" s="12" t="n">
        <v>120</v>
      </c>
      <c r="D36" s="12" t="n">
        <v>490</v>
      </c>
      <c r="E36" s="12" t="n">
        <v>680</v>
      </c>
      <c r="F36" s="12" t="n">
        <v>120</v>
      </c>
      <c r="G36" s="12" t="n">
        <v>690</v>
      </c>
      <c r="H36" s="12" t="n">
        <v>880</v>
      </c>
    </row>
    <row r="37">
      <c r="B37" t="n">
        <v>3</v>
      </c>
      <c r="C37" s="12" t="n">
        <v>150</v>
      </c>
      <c r="D37" s="12" t="n">
        <v>590</v>
      </c>
      <c r="E37" s="12" t="n">
        <v>880</v>
      </c>
      <c r="F37" s="12" t="n">
        <v>150</v>
      </c>
      <c r="G37" s="12" t="n">
        <v>890</v>
      </c>
      <c r="H37" s="12" t="n">
        <v>1280</v>
      </c>
    </row>
    <row r="38">
      <c r="B38" t="n">
        <v>4</v>
      </c>
      <c r="C38" s="12" t="n">
        <v>180</v>
      </c>
      <c r="D38" s="12" t="n">
        <v>690</v>
      </c>
      <c r="E38" s="12" t="n">
        <v>1080</v>
      </c>
      <c r="F38" s="12" t="n">
        <v>180</v>
      </c>
      <c r="G38" s="12" t="n">
        <v>1090</v>
      </c>
      <c r="H38" s="12" t="n">
        <v>1680</v>
      </c>
    </row>
    <row r="39">
      <c r="B39" t="n">
        <v>5</v>
      </c>
      <c r="C39" s="12" t="n">
        <v>210</v>
      </c>
      <c r="D39" s="12" t="n">
        <v>790</v>
      </c>
      <c r="E39" s="12" t="n">
        <v>1280</v>
      </c>
      <c r="F39" s="12" t="n">
        <v>210</v>
      </c>
      <c r="G39" s="12" t="n">
        <v>1290</v>
      </c>
      <c r="H39" s="12" t="n">
        <v>2080</v>
      </c>
    </row>
    <row r="40">
      <c r="B40" t="n">
        <v>6</v>
      </c>
      <c r="C40" s="12" t="n">
        <v>240</v>
      </c>
      <c r="D40" s="12" t="n">
        <v>890</v>
      </c>
      <c r="E40" s="12" t="n">
        <v>1480</v>
      </c>
      <c r="F40" s="12" t="n">
        <v>240</v>
      </c>
      <c r="G40" s="12" t="n">
        <v>1490</v>
      </c>
      <c r="H40" s="12" t="n">
        <v>2480</v>
      </c>
    </row>
    <row r="41">
      <c r="B41" t="n">
        <v>7</v>
      </c>
      <c r="C41" s="12" t="n">
        <v>270</v>
      </c>
      <c r="D41" s="12" t="n">
        <v>990</v>
      </c>
      <c r="E41" s="12" t="n">
        <v>1680</v>
      </c>
      <c r="F41" s="12" t="n">
        <v>270</v>
      </c>
      <c r="G41" s="12" t="n">
        <v>1690</v>
      </c>
      <c r="H41" s="12" t="n">
        <v>2880</v>
      </c>
    </row>
    <row r="42">
      <c r="A42" s="2" t="inlineStr">
        <is>
          <t>3 D/C</t>
        </is>
      </c>
      <c r="B42" t="n">
        <v>3</v>
      </c>
      <c r="C42" s="12" t="n">
        <v>110</v>
      </c>
      <c r="D42" s="12" t="n">
        <v>470</v>
      </c>
      <c r="E42" s="12" t="n">
        <v>640</v>
      </c>
      <c r="F42" s="12" t="n">
        <v>110</v>
      </c>
      <c r="G42" s="12" t="n">
        <v>670</v>
      </c>
      <c r="H42" s="12" t="n">
        <v>840</v>
      </c>
    </row>
    <row r="43">
      <c r="B43" t="n">
        <v>4</v>
      </c>
      <c r="C43" s="12" t="n">
        <v>130</v>
      </c>
      <c r="D43" s="12" t="n">
        <v>570</v>
      </c>
      <c r="E43" s="12" t="n">
        <v>840</v>
      </c>
      <c r="F43" s="12" t="n">
        <v>130</v>
      </c>
      <c r="G43" s="12" t="n">
        <v>870</v>
      </c>
      <c r="H43" s="12" t="n">
        <v>1240</v>
      </c>
    </row>
    <row r="44">
      <c r="B44" t="n">
        <v>5</v>
      </c>
      <c r="C44" s="12" t="n">
        <v>150</v>
      </c>
      <c r="D44" s="12" t="n">
        <v>670</v>
      </c>
      <c r="E44" s="12" t="n">
        <v>1040</v>
      </c>
      <c r="F44" s="12" t="n">
        <v>150</v>
      </c>
      <c r="G44" s="12" t="n">
        <v>1070</v>
      </c>
      <c r="H44" s="12" t="n">
        <v>1640</v>
      </c>
    </row>
    <row r="45">
      <c r="B45" t="n">
        <v>6</v>
      </c>
      <c r="C45" s="12" t="n">
        <v>170</v>
      </c>
      <c r="D45" s="12" t="n">
        <v>770</v>
      </c>
      <c r="E45" s="12" t="n">
        <v>1240</v>
      </c>
      <c r="F45" s="12" t="n">
        <v>170</v>
      </c>
      <c r="G45" s="12" t="n">
        <v>1270</v>
      </c>
      <c r="H45" s="12" t="n">
        <v>2040</v>
      </c>
    </row>
    <row r="46">
      <c r="B46" t="n">
        <v>7</v>
      </c>
      <c r="C46" s="12" t="n">
        <v>190</v>
      </c>
      <c r="D46" s="12" t="n">
        <v>870</v>
      </c>
      <c r="E46" s="12" t="n">
        <v>1440</v>
      </c>
      <c r="F46" s="12" t="n">
        <v>190</v>
      </c>
      <c r="G46" s="12" t="n">
        <v>1470</v>
      </c>
      <c r="H46" s="12" t="n">
        <v>2440</v>
      </c>
    </row>
    <row r="47">
      <c r="A47" s="2" t="inlineStr">
        <is>
          <t>3 H/S</t>
        </is>
      </c>
      <c r="B47" t="n">
        <v>3</v>
      </c>
      <c r="C47" s="12" t="n">
        <v>140</v>
      </c>
      <c r="D47" s="12" t="n">
        <v>530</v>
      </c>
      <c r="E47" s="12" t="n">
        <v>760</v>
      </c>
      <c r="F47" s="12" t="n">
        <v>140</v>
      </c>
      <c r="G47" s="12" t="n">
        <v>730</v>
      </c>
      <c r="H47" s="12" t="n">
        <v>960</v>
      </c>
    </row>
    <row r="48">
      <c r="B48" t="n">
        <v>4</v>
      </c>
      <c r="C48" s="12" t="n">
        <v>170</v>
      </c>
      <c r="D48" s="12" t="n">
        <v>630</v>
      </c>
      <c r="E48" s="12" t="n">
        <v>960</v>
      </c>
      <c r="F48" s="12" t="n">
        <v>170</v>
      </c>
      <c r="G48" s="12" t="n">
        <v>930</v>
      </c>
      <c r="H48" s="12" t="n">
        <v>1360</v>
      </c>
    </row>
    <row r="49">
      <c r="B49" t="n">
        <v>5</v>
      </c>
      <c r="C49" s="12" t="n">
        <v>200</v>
      </c>
      <c r="D49" s="12" t="n">
        <v>730</v>
      </c>
      <c r="E49" s="12" t="n">
        <v>1160</v>
      </c>
      <c r="F49" s="12" t="n">
        <v>200</v>
      </c>
      <c r="G49" s="12" t="n">
        <v>1130</v>
      </c>
      <c r="H49" s="12" t="n">
        <v>1760</v>
      </c>
    </row>
    <row r="50">
      <c r="B50" t="n">
        <v>6</v>
      </c>
      <c r="C50" s="12" t="n">
        <v>230</v>
      </c>
      <c r="D50" s="12" t="n">
        <v>830</v>
      </c>
      <c r="E50" s="12" t="n">
        <v>1360</v>
      </c>
      <c r="F50" s="12" t="n">
        <v>230</v>
      </c>
      <c r="G50" s="12" t="n">
        <v>1330</v>
      </c>
      <c r="H50" s="12" t="n">
        <v>2160</v>
      </c>
    </row>
    <row r="51">
      <c r="B51" t="n">
        <v>7</v>
      </c>
      <c r="C51" s="12" t="n">
        <v>260</v>
      </c>
      <c r="D51" s="12" t="n">
        <v>930</v>
      </c>
      <c r="E51" s="12" t="n">
        <v>1560</v>
      </c>
      <c r="F51" s="12" t="n">
        <v>260</v>
      </c>
      <c r="G51" s="12" t="n">
        <v>1530</v>
      </c>
      <c r="H51" s="12" t="n">
        <v>2560</v>
      </c>
    </row>
    <row r="52">
      <c r="A52" s="2" t="inlineStr">
        <is>
          <t>3 NT</t>
        </is>
      </c>
      <c r="B52" t="n">
        <v>3</v>
      </c>
      <c r="C52" s="12" t="n">
        <v>400</v>
      </c>
      <c r="D52" s="12" t="n">
        <v>550</v>
      </c>
      <c r="E52" s="12" t="n">
        <v>800</v>
      </c>
      <c r="F52" s="12" t="n">
        <v>600</v>
      </c>
      <c r="G52" s="12" t="n">
        <v>750</v>
      </c>
      <c r="H52" s="12" t="n">
        <v>1000</v>
      </c>
    </row>
    <row r="53">
      <c r="B53" t="n">
        <v>4</v>
      </c>
      <c r="C53" s="12" t="n">
        <v>430</v>
      </c>
      <c r="D53" s="12" t="n">
        <v>650</v>
      </c>
      <c r="E53" s="12" t="n">
        <v>1000</v>
      </c>
      <c r="F53" s="12" t="n">
        <v>630</v>
      </c>
      <c r="G53" s="12" t="n">
        <v>950</v>
      </c>
      <c r="H53" s="12" t="n">
        <v>1400</v>
      </c>
    </row>
    <row r="54">
      <c r="B54" t="n">
        <v>5</v>
      </c>
      <c r="C54" s="12" t="n">
        <v>460</v>
      </c>
      <c r="D54" s="12" t="n">
        <v>750</v>
      </c>
      <c r="E54" s="12" t="n">
        <v>1200</v>
      </c>
      <c r="F54" s="12" t="n">
        <v>660</v>
      </c>
      <c r="G54" s="12" t="n">
        <v>1150</v>
      </c>
      <c r="H54" s="12" t="n">
        <v>1800</v>
      </c>
    </row>
    <row r="55">
      <c r="B55" t="n">
        <v>6</v>
      </c>
      <c r="C55" s="12" t="n">
        <v>490</v>
      </c>
      <c r="D55" s="12" t="n">
        <v>850</v>
      </c>
      <c r="E55" s="12" t="n">
        <v>1400</v>
      </c>
      <c r="F55" s="12" t="n">
        <v>690</v>
      </c>
      <c r="G55" s="12" t="n">
        <v>1350</v>
      </c>
      <c r="H55" s="12" t="n">
        <v>2200</v>
      </c>
    </row>
    <row r="56">
      <c r="B56" t="n">
        <v>7</v>
      </c>
      <c r="C56" s="12" t="n">
        <v>520</v>
      </c>
      <c r="D56" s="12" t="n">
        <v>950</v>
      </c>
      <c r="E56" s="12" t="n">
        <v>1600</v>
      </c>
      <c r="F56" s="12" t="n">
        <v>720</v>
      </c>
      <c r="G56" s="12" t="n">
        <v>1550</v>
      </c>
      <c r="H56" s="12" t="n">
        <v>2600</v>
      </c>
    </row>
    <row r="57">
      <c r="A57" s="2" t="inlineStr">
        <is>
          <t>4 D/C</t>
        </is>
      </c>
      <c r="B57" t="n">
        <v>4</v>
      </c>
      <c r="C57" s="12" t="n">
        <v>130</v>
      </c>
      <c r="D57" s="12" t="n">
        <v>510</v>
      </c>
      <c r="E57" s="12" t="n">
        <v>720</v>
      </c>
      <c r="F57" s="12" t="n">
        <v>130</v>
      </c>
      <c r="G57" s="12" t="n">
        <v>710</v>
      </c>
      <c r="H57" s="12" t="n">
        <v>920</v>
      </c>
    </row>
    <row r="58">
      <c r="B58" t="n">
        <v>5</v>
      </c>
      <c r="C58" s="12" t="n">
        <v>150</v>
      </c>
      <c r="D58" s="12" t="n">
        <v>610</v>
      </c>
      <c r="E58" s="12" t="n">
        <v>920</v>
      </c>
      <c r="F58" s="12" t="n">
        <v>150</v>
      </c>
      <c r="G58" s="12" t="n">
        <v>910</v>
      </c>
      <c r="H58" s="12" t="n">
        <v>1320</v>
      </c>
    </row>
    <row r="59">
      <c r="B59" t="n">
        <v>6</v>
      </c>
      <c r="C59" s="12" t="n">
        <v>170</v>
      </c>
      <c r="D59" s="12" t="n">
        <v>710</v>
      </c>
      <c r="E59" s="12" t="n">
        <v>1120</v>
      </c>
      <c r="F59" s="12" t="n">
        <v>170</v>
      </c>
      <c r="G59" s="12" t="n">
        <v>1110</v>
      </c>
      <c r="H59" s="12" t="n">
        <v>1720</v>
      </c>
    </row>
    <row r="60">
      <c r="B60" t="n">
        <v>7</v>
      </c>
      <c r="C60" s="12" t="n">
        <v>190</v>
      </c>
      <c r="D60" s="12" t="n">
        <v>810</v>
      </c>
      <c r="E60" s="12" t="n">
        <v>1320</v>
      </c>
      <c r="F60" s="12" t="n">
        <v>190</v>
      </c>
      <c r="G60" s="12" t="n">
        <v>1310</v>
      </c>
      <c r="H60" s="12" t="n">
        <v>2120</v>
      </c>
    </row>
    <row r="61">
      <c r="A61" s="2" t="inlineStr">
        <is>
          <t>4 H/S</t>
        </is>
      </c>
      <c r="B61" t="n">
        <v>4</v>
      </c>
      <c r="C61" s="12" t="n">
        <v>420</v>
      </c>
      <c r="D61" s="12" t="n">
        <v>590</v>
      </c>
      <c r="E61" s="12" t="n">
        <v>880</v>
      </c>
      <c r="F61" s="12" t="n">
        <v>620</v>
      </c>
      <c r="G61" s="12" t="n">
        <v>790</v>
      </c>
      <c r="H61" s="12" t="n">
        <v>1080</v>
      </c>
    </row>
    <row r="62">
      <c r="B62" t="n">
        <v>5</v>
      </c>
      <c r="C62" s="12" t="n">
        <v>450</v>
      </c>
      <c r="D62" s="12" t="n">
        <v>690</v>
      </c>
      <c r="E62" s="12" t="n">
        <v>1080</v>
      </c>
      <c r="F62" s="12" t="n">
        <v>650</v>
      </c>
      <c r="G62" s="12" t="n">
        <v>990</v>
      </c>
      <c r="H62" s="12" t="n">
        <v>1480</v>
      </c>
    </row>
    <row r="63">
      <c r="B63" t="n">
        <v>6</v>
      </c>
      <c r="C63" s="12" t="n">
        <v>480</v>
      </c>
      <c r="D63" s="12" t="n">
        <v>790</v>
      </c>
      <c r="E63" s="12" t="n">
        <v>1280</v>
      </c>
      <c r="F63" s="12" t="n">
        <v>680</v>
      </c>
      <c r="G63" s="12" t="n">
        <v>1190</v>
      </c>
      <c r="H63" s="12" t="n">
        <v>1880</v>
      </c>
    </row>
    <row r="64">
      <c r="B64" t="n">
        <v>7</v>
      </c>
      <c r="C64" s="12" t="n">
        <v>510</v>
      </c>
      <c r="D64" s="12" t="n">
        <v>890</v>
      </c>
      <c r="E64" s="12" t="n">
        <v>1480</v>
      </c>
      <c r="F64" s="12" t="n">
        <v>710</v>
      </c>
      <c r="G64" s="12" t="n">
        <v>1390</v>
      </c>
      <c r="H64" s="12" t="n">
        <v>2280</v>
      </c>
    </row>
    <row r="65">
      <c r="A65" s="2" t="inlineStr">
        <is>
          <t>4 NT</t>
        </is>
      </c>
      <c r="B65" t="n">
        <v>4</v>
      </c>
      <c r="C65" s="12" t="n">
        <v>430</v>
      </c>
      <c r="D65" s="12" t="n">
        <v>610</v>
      </c>
      <c r="E65" s="12" t="n">
        <v>920</v>
      </c>
      <c r="F65" s="12" t="n">
        <v>630</v>
      </c>
      <c r="G65" s="12" t="n">
        <v>810</v>
      </c>
      <c r="H65" s="12" t="n">
        <v>1120</v>
      </c>
    </row>
    <row r="66">
      <c r="B66" t="n">
        <v>5</v>
      </c>
      <c r="C66" s="12" t="n">
        <v>460</v>
      </c>
      <c r="D66" s="12" t="n">
        <v>710</v>
      </c>
      <c r="E66" s="12" t="n">
        <v>1120</v>
      </c>
      <c r="F66" s="12" t="n">
        <v>660</v>
      </c>
      <c r="G66" s="12" t="n">
        <v>1010</v>
      </c>
      <c r="H66" s="12" t="n">
        <v>1520</v>
      </c>
    </row>
    <row r="67">
      <c r="B67" t="n">
        <v>6</v>
      </c>
      <c r="C67" s="12" t="n">
        <v>490</v>
      </c>
      <c r="D67" s="12" t="n">
        <v>810</v>
      </c>
      <c r="E67" s="12" t="n">
        <v>1320</v>
      </c>
      <c r="F67" s="12" t="n">
        <v>690</v>
      </c>
      <c r="G67" s="12" t="n">
        <v>1210</v>
      </c>
      <c r="H67" s="12" t="n">
        <v>1920</v>
      </c>
    </row>
    <row r="68">
      <c r="B68" t="n">
        <v>7</v>
      </c>
      <c r="C68" s="12" t="n">
        <v>520</v>
      </c>
      <c r="D68" s="12" t="n">
        <v>910</v>
      </c>
      <c r="E68" s="12" t="n">
        <v>1520</v>
      </c>
      <c r="F68" s="12" t="n">
        <v>720</v>
      </c>
      <c r="G68" s="12" t="n">
        <v>1410</v>
      </c>
      <c r="H68" s="12" t="n">
        <v>2320</v>
      </c>
    </row>
    <row r="69">
      <c r="A69" s="2" t="inlineStr">
        <is>
          <t>5 D/C</t>
        </is>
      </c>
      <c r="B69" t="n">
        <v>5</v>
      </c>
      <c r="C69" s="12" t="n">
        <v>400</v>
      </c>
      <c r="D69" s="12" t="n">
        <v>550</v>
      </c>
      <c r="E69" s="12" t="n">
        <v>800</v>
      </c>
      <c r="F69" s="12" t="n">
        <v>600</v>
      </c>
      <c r="G69" s="12" t="n">
        <v>750</v>
      </c>
      <c r="H69" s="12" t="n">
        <v>1000</v>
      </c>
    </row>
    <row r="70">
      <c r="B70" t="n">
        <v>6</v>
      </c>
      <c r="C70" s="12" t="n">
        <v>420</v>
      </c>
      <c r="D70" s="12" t="n">
        <v>650</v>
      </c>
      <c r="E70" s="12" t="n">
        <v>1000</v>
      </c>
      <c r="F70" s="12" t="n">
        <v>620</v>
      </c>
      <c r="G70" s="12" t="n">
        <v>950</v>
      </c>
      <c r="H70" s="12" t="n">
        <v>1400</v>
      </c>
    </row>
    <row r="71">
      <c r="B71" t="n">
        <v>7</v>
      </c>
      <c r="C71" s="12" t="n">
        <v>440</v>
      </c>
      <c r="D71" s="12" t="n">
        <v>750</v>
      </c>
      <c r="E71" s="12" t="n">
        <v>1200</v>
      </c>
      <c r="F71" s="12" t="n">
        <v>640</v>
      </c>
      <c r="G71" s="12" t="n">
        <v>1150</v>
      </c>
      <c r="H71" s="12" t="n">
        <v>1800</v>
      </c>
    </row>
    <row r="72">
      <c r="A72" s="2" t="inlineStr">
        <is>
          <t>5 H/S</t>
        </is>
      </c>
      <c r="B72" t="n">
        <v>5</v>
      </c>
      <c r="C72" s="12" t="n">
        <v>450</v>
      </c>
      <c r="D72" s="12" t="n">
        <v>650</v>
      </c>
      <c r="E72" s="12" t="n">
        <v>1000</v>
      </c>
      <c r="F72" s="12" t="n">
        <v>650</v>
      </c>
      <c r="G72" s="12" t="n">
        <v>850</v>
      </c>
      <c r="H72" s="12" t="n">
        <v>1200</v>
      </c>
    </row>
    <row r="73">
      <c r="B73" t="n">
        <v>6</v>
      </c>
      <c r="C73" s="12" t="n">
        <v>480</v>
      </c>
      <c r="D73" s="12" t="n">
        <v>750</v>
      </c>
      <c r="E73" s="12" t="n">
        <v>1200</v>
      </c>
      <c r="F73" s="12" t="n">
        <v>680</v>
      </c>
      <c r="G73" s="12" t="n">
        <v>1050</v>
      </c>
      <c r="H73" s="12" t="n">
        <v>1600</v>
      </c>
    </row>
    <row r="74">
      <c r="B74" t="n">
        <v>7</v>
      </c>
      <c r="C74" s="12" t="n">
        <v>510</v>
      </c>
      <c r="D74" s="12" t="n">
        <v>850</v>
      </c>
      <c r="E74" s="12" t="n">
        <v>1400</v>
      </c>
      <c r="F74" s="12" t="n">
        <v>710</v>
      </c>
      <c r="G74" s="12" t="n">
        <v>1250</v>
      </c>
      <c r="H74" s="12" t="n">
        <v>2000</v>
      </c>
    </row>
    <row r="75">
      <c r="A75" s="2" t="inlineStr">
        <is>
          <t>5 NT</t>
        </is>
      </c>
      <c r="B75" t="n">
        <v>5</v>
      </c>
      <c r="C75" s="12" t="n">
        <v>460</v>
      </c>
      <c r="D75" s="12" t="n">
        <v>670</v>
      </c>
      <c r="E75" s="12" t="n">
        <v>1040</v>
      </c>
      <c r="F75" s="12" t="n">
        <v>660</v>
      </c>
      <c r="G75" s="12" t="n">
        <v>870</v>
      </c>
      <c r="H75" s="12" t="n">
        <v>1240</v>
      </c>
    </row>
    <row r="76">
      <c r="B76" t="n">
        <v>6</v>
      </c>
      <c r="C76" s="12" t="n">
        <v>490</v>
      </c>
      <c r="D76" s="12" t="n">
        <v>770</v>
      </c>
      <c r="E76" s="12" t="n">
        <v>1240</v>
      </c>
      <c r="F76" s="12" t="n">
        <v>690</v>
      </c>
      <c r="G76" s="12" t="n">
        <v>1070</v>
      </c>
      <c r="H76" s="12" t="n">
        <v>1640</v>
      </c>
    </row>
    <row r="77">
      <c r="B77" t="n">
        <v>7</v>
      </c>
      <c r="C77" s="12" t="n">
        <v>520</v>
      </c>
      <c r="D77" s="12" t="n">
        <v>870</v>
      </c>
      <c r="E77" s="12" t="n">
        <v>1440</v>
      </c>
      <c r="F77" s="12" t="n">
        <v>720</v>
      </c>
      <c r="G77" s="12" t="n">
        <v>1270</v>
      </c>
      <c r="H77" s="12" t="n">
        <v>2040</v>
      </c>
    </row>
    <row r="78">
      <c r="A78" s="2" t="inlineStr">
        <is>
          <t>6 D/C</t>
        </is>
      </c>
      <c r="B78" t="n">
        <v>6</v>
      </c>
      <c r="C78" s="12" t="n">
        <v>920</v>
      </c>
      <c r="D78" s="12" t="n">
        <v>1090</v>
      </c>
      <c r="E78" s="12" t="n">
        <v>1380</v>
      </c>
      <c r="F78" s="12" t="n">
        <v>1370</v>
      </c>
      <c r="G78" s="12" t="n">
        <v>1540</v>
      </c>
      <c r="H78" s="12" t="n">
        <v>1830</v>
      </c>
    </row>
    <row r="79">
      <c r="B79" t="n">
        <v>7</v>
      </c>
      <c r="C79" s="12" t="n">
        <v>940</v>
      </c>
      <c r="D79" s="12" t="n">
        <v>1190</v>
      </c>
      <c r="E79" s="12" t="n">
        <v>1580</v>
      </c>
      <c r="F79" s="12" t="n">
        <v>1390</v>
      </c>
      <c r="G79" s="12" t="n">
        <v>1740</v>
      </c>
      <c r="H79" s="12" t="n">
        <v>2230</v>
      </c>
    </row>
    <row r="80">
      <c r="A80" s="2" t="inlineStr">
        <is>
          <t>6 H/S</t>
        </is>
      </c>
      <c r="B80" t="n">
        <v>6</v>
      </c>
      <c r="C80" s="12" t="n">
        <v>980</v>
      </c>
      <c r="D80" s="12" t="n">
        <v>1210</v>
      </c>
      <c r="E80" s="12" t="n">
        <v>1620</v>
      </c>
      <c r="F80" s="12" t="n">
        <v>1430</v>
      </c>
      <c r="G80" s="12" t="n">
        <v>1660</v>
      </c>
      <c r="H80" s="12" t="n">
        <v>2070</v>
      </c>
    </row>
    <row r="81">
      <c r="B81" t="n">
        <v>7</v>
      </c>
      <c r="C81" s="12" t="n">
        <v>1010</v>
      </c>
      <c r="D81" s="12" t="n">
        <v>1310</v>
      </c>
      <c r="E81" s="12" t="n">
        <v>1820</v>
      </c>
      <c r="F81" s="12" t="n">
        <v>1460</v>
      </c>
      <c r="G81" s="12" t="n">
        <v>1860</v>
      </c>
      <c r="H81" s="12" t="n">
        <v>2470</v>
      </c>
    </row>
    <row r="82">
      <c r="A82" s="2" t="inlineStr">
        <is>
          <t>6 NT</t>
        </is>
      </c>
      <c r="B82" t="n">
        <v>6</v>
      </c>
      <c r="C82" s="12" t="n">
        <v>990</v>
      </c>
      <c r="D82" s="12" t="n">
        <v>1230</v>
      </c>
      <c r="E82" s="12" t="n">
        <v>1660</v>
      </c>
      <c r="F82" s="12" t="n">
        <v>1440</v>
      </c>
      <c r="G82" s="12" t="n">
        <v>1680</v>
      </c>
      <c r="H82" s="12" t="n">
        <v>2110</v>
      </c>
    </row>
    <row r="83">
      <c r="B83" t="n">
        <v>7</v>
      </c>
      <c r="C83" s="12" t="n">
        <v>1020</v>
      </c>
      <c r="D83" s="12" t="n">
        <v>1330</v>
      </c>
      <c r="E83" s="12" t="n">
        <v>1860</v>
      </c>
      <c r="F83" s="12" t="n">
        <v>1470</v>
      </c>
      <c r="G83" s="12" t="n">
        <v>1880</v>
      </c>
      <c r="H83" s="12" t="n">
        <v>2510</v>
      </c>
    </row>
    <row r="84">
      <c r="A84" s="2" t="inlineStr">
        <is>
          <t>7 D/C</t>
        </is>
      </c>
      <c r="B84" t="n">
        <v>7</v>
      </c>
      <c r="C84" s="12" t="n">
        <v>1440</v>
      </c>
      <c r="D84" s="12" t="n">
        <v>1630</v>
      </c>
      <c r="E84" s="12" t="n">
        <v>1960</v>
      </c>
      <c r="F84" s="12" t="n">
        <v>2140</v>
      </c>
      <c r="G84" s="12" t="n">
        <v>2330</v>
      </c>
      <c r="H84" s="12" t="n">
        <v>2660</v>
      </c>
    </row>
    <row r="85">
      <c r="A85" s="2" t="inlineStr">
        <is>
          <t>7 H/S</t>
        </is>
      </c>
      <c r="B85" t="n">
        <v>7</v>
      </c>
      <c r="C85" s="12" t="n">
        <v>1510</v>
      </c>
      <c r="D85" s="12" t="n">
        <v>1770</v>
      </c>
      <c r="E85" s="12" t="n">
        <v>2240</v>
      </c>
      <c r="F85" s="12" t="n">
        <v>2210</v>
      </c>
      <c r="G85" s="12" t="n">
        <v>2470</v>
      </c>
      <c r="H85" s="12" t="n">
        <v>2940</v>
      </c>
    </row>
    <row r="86">
      <c r="A86" s="2" t="inlineStr">
        <is>
          <t>7 NT</t>
        </is>
      </c>
      <c r="B86" t="n">
        <v>7</v>
      </c>
      <c r="C86" s="12" t="n">
        <v>1520</v>
      </c>
      <c r="D86" s="12" t="n">
        <v>1790</v>
      </c>
      <c r="E86" s="12" t="n">
        <v>2280</v>
      </c>
      <c r="F86" s="12" t="n">
        <v>2220</v>
      </c>
      <c r="G86" s="12" t="n">
        <v>2490</v>
      </c>
      <c r="H86" s="1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2026-03-07T21:22:35Z</dcterms:created>
  <dcterms:modified xsi:type="dcterms:W3CDTF">2026-03-07T21:22:35Z</dcterms:modified>
</cp:coreProperties>
</file>