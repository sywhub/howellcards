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44</t>
        </is>
      </c>
      <c r="C8" t="inlineStr">
        <is>
          <t>Name 46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2</v>
      </c>
      <c r="B9" t="inlineStr">
        <is>
          <t>Name 49</t>
        </is>
      </c>
      <c r="C9" t="inlineStr">
        <is>
          <t>Name 36</t>
        </is>
      </c>
      <c r="D9" s="4">
        <f>SUMIF('By Board'!D3:D78,"="&amp;A9,'By Board'!N3:N78)/15</f>
        <v/>
      </c>
      <c r="E9" s="5">
        <f>SUMIF('By Board'!D3:D78,"="&amp;A9,'By Board'!L3:L78)</f>
        <v/>
      </c>
    </row>
    <row r="10">
      <c r="A10" s="2" t="n">
        <v>3</v>
      </c>
      <c r="B10" t="inlineStr">
        <is>
          <t>Name 54</t>
        </is>
      </c>
      <c r="C10" t="inlineStr">
        <is>
          <t>Name 23</t>
        </is>
      </c>
      <c r="D10" s="4">
        <f>SUMIF('By Board'!D3:D78,"="&amp;A10,'By Board'!N3:N78)/15</f>
        <v/>
      </c>
      <c r="E10" s="5">
        <f>SUMIF('By Board'!D3:D78,"="&amp;A10,'By Board'!L3:L78)</f>
        <v/>
      </c>
    </row>
    <row r="11">
      <c r="A11" s="2" t="n">
        <v>4</v>
      </c>
      <c r="B11" t="inlineStr">
        <is>
          <t>Name 19</t>
        </is>
      </c>
      <c r="C11" t="inlineStr">
        <is>
          <t>Name 72</t>
        </is>
      </c>
      <c r="D11" s="4">
        <f>SUMIF('By Board'!D3:D78,"="&amp;A11,'By Board'!N3:N78)/15</f>
        <v/>
      </c>
      <c r="E11" s="5">
        <f>SUMIF('By Board'!D3:D78,"="&amp;A11,'By Board'!L3:L78)</f>
        <v/>
      </c>
    </row>
    <row r="12">
      <c r="A12" s="6" t="n">
        <v>5</v>
      </c>
      <c r="B12" s="7" t="inlineStr">
        <is>
          <t>Name 58</t>
        </is>
      </c>
      <c r="C12" s="7" t="inlineStr">
        <is>
          <t>Name 83</t>
        </is>
      </c>
      <c r="D12" s="8">
        <f>SUMIF('By Board'!D3:D78,"="&amp;A12,'By Board'!N3:N78)/15</f>
        <v/>
      </c>
      <c r="E12" s="9">
        <f>SUMIF('By Board'!D3:D78,"="&amp;A12,'By Board'!L3:L78)</f>
        <v/>
      </c>
      <c r="F12" s="7" t="n"/>
    </row>
    <row r="13">
      <c r="C13" s="10" t="inlineStr">
        <is>
          <t>Average</t>
        </is>
      </c>
      <c r="D13" s="11">
        <f>AVERAGE(D8:D12)</f>
        <v/>
      </c>
      <c r="E13" s="12">
        <f>SUM(F8:F12)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52</t>
        </is>
      </c>
      <c r="C16" t="inlineStr">
        <is>
          <t>Name 46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2</v>
      </c>
      <c r="B17" t="inlineStr">
        <is>
          <t>Name 61</t>
        </is>
      </c>
      <c r="C17" t="inlineStr">
        <is>
          <t>Name 36</t>
        </is>
      </c>
      <c r="D17" s="4">
        <f>SUMIF('By Board'!E3:E78,"="&amp;A17,'By Board'!O3:O78)/15</f>
        <v/>
      </c>
      <c r="E17" s="5">
        <f>SUMIF('By Board'!E3:E78,"="&amp;A17,'By Board'!M3:M78)</f>
        <v/>
      </c>
    </row>
    <row r="18">
      <c r="A18" s="2" t="n">
        <v>3</v>
      </c>
      <c r="B18" t="inlineStr">
        <is>
          <t>Name 36</t>
        </is>
      </c>
      <c r="C18" t="inlineStr">
        <is>
          <t>Name 69</t>
        </is>
      </c>
      <c r="D18" s="4">
        <f>SUMIF('By Board'!E3:E78,"="&amp;A18,'By Board'!O3:O78)/15</f>
        <v/>
      </c>
      <c r="E18" s="5">
        <f>SUMIF('By Board'!E3:E78,"="&amp;A18,'By Board'!M3:M78)</f>
        <v/>
      </c>
    </row>
    <row r="19">
      <c r="A19" s="2" t="n">
        <v>4</v>
      </c>
      <c r="B19" t="inlineStr">
        <is>
          <t>Name 33</t>
        </is>
      </c>
      <c r="C19" t="inlineStr">
        <is>
          <t>Name 38</t>
        </is>
      </c>
      <c r="D19" s="4">
        <f>SUMIF('By Board'!E3:E78,"="&amp;A19,'By Board'!O3:O78)/15</f>
        <v/>
      </c>
      <c r="E19" s="5">
        <f>SUMIF('By Board'!E3:E78,"="&amp;A19,'By Board'!M3:M78)</f>
        <v/>
      </c>
    </row>
    <row r="20">
      <c r="A20" s="6" t="n">
        <v>5</v>
      </c>
      <c r="B20" s="7" t="inlineStr">
        <is>
          <t>Name 48</t>
        </is>
      </c>
      <c r="C20" s="7" t="inlineStr">
        <is>
          <t>Name 18</t>
        </is>
      </c>
      <c r="D20" s="8">
        <f>SUMIF('By Board'!E3:E78,"="&amp;A20,'By Board'!O3:O78)/15</f>
        <v/>
      </c>
      <c r="E20" s="9">
        <f>SUMIF('By Board'!E3:E78,"="&amp;A20,'By Board'!M3:M78)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6">
    <mergeCell ref="A4:B4"/>
    <mergeCell ref="A2:E2"/>
    <mergeCell ref="A5:B5"/>
    <mergeCell ref="A15:C1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5">
        <f>SUM(AF3:AI3)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5">
        <f>SUM(AF4:AI4)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5">
        <f>SUM(AF5:AI5)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5">
        <f>SUM(AF6:AI6)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7">
        <f>IF(ISBLANK('By Round'!G66),"",'By Round'!G66)</f>
        <v/>
      </c>
      <c r="H7" s="7">
        <f>IF(ISBLANK('By Round'!H66),"",'By Round'!H66)</f>
        <v/>
      </c>
      <c r="I7" s="7">
        <f>IF(ISBLANK('By Round'!I66),"",'By Round'!I66)</f>
        <v/>
      </c>
      <c r="J7" s="7">
        <f>IF(ISBLANK('By Round'!J66),"",'By Round'!J66)</f>
        <v/>
      </c>
      <c r="K7" s="7">
        <f>IF(ISBLANK('By Round'!K66),"",'By Round'!K66)</f>
        <v/>
      </c>
      <c r="L7" s="20">
        <f>SUM(AB7:AE7)</f>
        <v/>
      </c>
      <c r="M7" s="9">
        <f>SUM(AF7:AI7)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5">
        <f>SUM(AF8:AI8)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5">
        <f>SUM(AF9:AI9)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5">
        <f>SUM(AF10:AI10)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5">
        <f>SUM(AF11:AI11)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7">
        <f>IF(ISBLANK('By Round'!G67),"",'By Round'!G67)</f>
        <v/>
      </c>
      <c r="H12" s="7">
        <f>IF(ISBLANK('By Round'!H67),"",'By Round'!H67)</f>
        <v/>
      </c>
      <c r="I12" s="7">
        <f>IF(ISBLANK('By Round'!I67),"",'By Round'!I67)</f>
        <v/>
      </c>
      <c r="J12" s="7">
        <f>IF(ISBLANK('By Round'!J67),"",'By Round'!J67)</f>
        <v/>
      </c>
      <c r="K12" s="7">
        <f>IF(ISBLANK('By Round'!K67),"",'By Round'!K67)</f>
        <v/>
      </c>
      <c r="L12" s="20">
        <f>SUM(AB12:AE12)</f>
        <v/>
      </c>
      <c r="M12" s="9">
        <f>SUM(AF12:AI12)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5">
        <f>SUM(AF13:AI13)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5">
        <f>SUM(AF14:AI14)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5">
        <f>SUM(AF15:AI15)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5">
        <f>SUM(AF16:AI16)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7">
        <f>IF(ISBLANK('By Round'!G68),"",'By Round'!G68)</f>
        <v/>
      </c>
      <c r="H17" s="7">
        <f>IF(ISBLANK('By Round'!H68),"",'By Round'!H68)</f>
        <v/>
      </c>
      <c r="I17" s="7">
        <f>IF(ISBLANK('By Round'!I68),"",'By Round'!I68)</f>
        <v/>
      </c>
      <c r="J17" s="7">
        <f>IF(ISBLANK('By Round'!J68),"",'By Round'!J68)</f>
        <v/>
      </c>
      <c r="K17" s="7">
        <f>IF(ISBLANK('By Round'!K68),"",'By Round'!K68)</f>
        <v/>
      </c>
      <c r="L17" s="20">
        <f>SUM(AB17:AE17)</f>
        <v/>
      </c>
      <c r="M17" s="9">
        <f>SUM(AF17:AI17)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5">
        <f>SUM(AF18:AI18)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5">
        <f>SUM(AF19:AI19)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5">
        <f>SUM(AF20:AI20)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5">
        <f>SUM(AF21:AI21)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7">
        <f>IF(ISBLANK('By Round'!G69),"",'By Round'!G69)</f>
        <v/>
      </c>
      <c r="H22" s="7">
        <f>IF(ISBLANK('By Round'!H69),"",'By Round'!H69)</f>
        <v/>
      </c>
      <c r="I22" s="7">
        <f>IF(ISBLANK('By Round'!I69),"",'By Round'!I69)</f>
        <v/>
      </c>
      <c r="J22" s="7">
        <f>IF(ISBLANK('By Round'!J69),"",'By Round'!J69)</f>
        <v/>
      </c>
      <c r="K22" s="7">
        <f>IF(ISBLANK('By Round'!K69),"",'By Round'!K69)</f>
        <v/>
      </c>
      <c r="L22" s="20">
        <f>SUM(AB22:AE22)</f>
        <v/>
      </c>
      <c r="M22" s="9">
        <f>SUM(AF22:AI22)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5">
        <f>SUM(AF23:AI23)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5">
        <f>SUM(AF24:AI24)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5">
        <f>SUM(AF25:AI25)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5">
        <f>SUM(AF26:AI26)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7">
        <f>IF(ISBLANK('By Round'!G70),"",'By Round'!G70)</f>
        <v/>
      </c>
      <c r="H27" s="7">
        <f>IF(ISBLANK('By Round'!H70),"",'By Round'!H70)</f>
        <v/>
      </c>
      <c r="I27" s="7">
        <f>IF(ISBLANK('By Round'!I70),"",'By Round'!I70)</f>
        <v/>
      </c>
      <c r="J27" s="7">
        <f>IF(ISBLANK('By Round'!J70),"",'By Round'!J70)</f>
        <v/>
      </c>
      <c r="K27" s="7">
        <f>IF(ISBLANK('By Round'!K70),"",'By Round'!K70)</f>
        <v/>
      </c>
      <c r="L27" s="20">
        <f>SUM(AB27:AE27)</f>
        <v/>
      </c>
      <c r="M27" s="9">
        <f>SUM(AF27:AI27)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5">
        <f>SUM(AF28:AI28)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5">
        <f>SUM(AF29:AI29)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5">
        <f>SUM(AF30:AI30)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5">
        <f>SUM(AF31:AI31)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7">
        <f>IF(ISBLANK('By Round'!G71),"",'By Round'!G71)</f>
        <v/>
      </c>
      <c r="H32" s="7">
        <f>IF(ISBLANK('By Round'!H71),"",'By Round'!H71)</f>
        <v/>
      </c>
      <c r="I32" s="7">
        <f>IF(ISBLANK('By Round'!I71),"",'By Round'!I71)</f>
        <v/>
      </c>
      <c r="J32" s="7">
        <f>IF(ISBLANK('By Round'!J71),"",'By Round'!J71)</f>
        <v/>
      </c>
      <c r="K32" s="7">
        <f>IF(ISBLANK('By Round'!K71),"",'By Round'!K71)</f>
        <v/>
      </c>
      <c r="L32" s="20">
        <f>SUM(AB32:AE32)</f>
        <v/>
      </c>
      <c r="M32" s="9">
        <f>SUM(AF32:AI32)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5">
        <f>SUM(AF33:AI33)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5">
        <f>SUM(AF34:AI34)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5">
        <f>SUM(AF35:AI35)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5">
        <f>SUM(AF36:AI36)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20">
        <f>SUM(AB37:AE37)</f>
        <v/>
      </c>
      <c r="M37" s="9">
        <f>SUM(AF37:AI37)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5">
        <f>SUM(AF38:AI38)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5">
        <f>SUM(AF39:AI39)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5">
        <f>SUM(AF40:AI40)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5">
        <f>SUM(AF41:AI41)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20">
        <f>SUM(AB42:AE42)</f>
        <v/>
      </c>
      <c r="M42" s="9">
        <f>SUM(AF42:AI42)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5">
        <f>SUM(AF43:AI43)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5">
        <f>SUM(AF44:AI44)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5">
        <f>SUM(AF45:AI45)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5">
        <f>SUM(AF46:AI46)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20">
        <f>SUM(AB47:AE47)</f>
        <v/>
      </c>
      <c r="M47" s="9">
        <f>SUM(AF47:AI47)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5">
        <f>SUM(AF48:AI48)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5">
        <f>SUM(AF49:AI49)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5">
        <f>SUM(AF50:AI50)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5">
        <f>SUM(AF51:AI51)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20">
        <f>SUM(AB52:AE52)</f>
        <v/>
      </c>
      <c r="M52" s="9">
        <f>SUM(AF52:AI52)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5">
        <f>SUM(AF53:AI53)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5">
        <f>SUM(AF54:AI54)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5">
        <f>SUM(AF55:AI55)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5">
        <f>SUM(AF56:AI56)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20">
        <f>SUM(AB57:AE57)</f>
        <v/>
      </c>
      <c r="M57" s="9">
        <f>SUM(AF57:AI57)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5">
        <f>SUM(AF58:AI58)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5">
        <f>SUM(AF59:AI59)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5">
        <f>SUM(AF60:AI60)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5">
        <f>SUM(AF61:AI61)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20">
        <f>SUM(AB62:AE62)</f>
        <v/>
      </c>
      <c r="M62" s="9">
        <f>SUM(AF62:AI62)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5">
        <f>SUM(AF63:AI63)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5">
        <f>SUM(AF64:AI64)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5">
        <f>SUM(AF65:AI65)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5">
        <f>SUM(AF66:AI66)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7">
        <f>IF(ISBLANK('By Round'!G63),"",'By Round'!G63)</f>
        <v/>
      </c>
      <c r="H67" s="7">
        <f>IF(ISBLANK('By Round'!H63),"",'By Round'!H63)</f>
        <v/>
      </c>
      <c r="I67" s="7">
        <f>IF(ISBLANK('By Round'!I63),"",'By Round'!I63)</f>
        <v/>
      </c>
      <c r="J67" s="7">
        <f>IF(ISBLANK('By Round'!J63),"",'By Round'!J63)</f>
        <v/>
      </c>
      <c r="K67" s="7">
        <f>IF(ISBLANK('By Round'!K63),"",'By Round'!K63)</f>
        <v/>
      </c>
      <c r="L67" s="20">
        <f>SUM(AB67:AE67)</f>
        <v/>
      </c>
      <c r="M67" s="9">
        <f>SUM(AF67:AI67)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5">
        <f>SUM(AF68:AI68)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5">
        <f>SUM(AF69:AI69)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5">
        <f>SUM(AF70:AI70)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5">
        <f>SUM(AF71:AI71)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7">
        <f>IF(ISBLANK('By Round'!G64),"",'By Round'!G64)</f>
        <v/>
      </c>
      <c r="H72" s="7">
        <f>IF(ISBLANK('By Round'!H64),"",'By Round'!H64)</f>
        <v/>
      </c>
      <c r="I72" s="7">
        <f>IF(ISBLANK('By Round'!I64),"",'By Round'!I64)</f>
        <v/>
      </c>
      <c r="J72" s="7">
        <f>IF(ISBLANK('By Round'!J64),"",'By Round'!J64)</f>
        <v/>
      </c>
      <c r="K72" s="7">
        <f>IF(ISBLANK('By Round'!K64),"",'By Round'!K64)</f>
        <v/>
      </c>
      <c r="L72" s="20">
        <f>SUM(AB72:AE72)</f>
        <v/>
      </c>
      <c r="M72" s="9">
        <f>SUM(AF72:AI72)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5">
        <f>SUM(AF73:AI73)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5">
        <f>SUM(AF74:AI74)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5">
        <f>SUM(AF75:AI75)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5">
        <f>SUM(AF76:AI76)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7">
        <f>IF(ISBLANK('By Round'!G65),"",'By Round'!G65)</f>
        <v/>
      </c>
      <c r="H77" s="7">
        <f>IF(ISBLANK('By Round'!H65),"",'By Round'!H65)</f>
        <v/>
      </c>
      <c r="I77" s="7">
        <f>IF(ISBLANK('By Round'!I65),"",'By Round'!I65)</f>
        <v/>
      </c>
      <c r="J77" s="7">
        <f>IF(ISBLANK('By Round'!J65),"",'By Round'!J65)</f>
        <v/>
      </c>
      <c r="K77" s="7">
        <f>IF(ISBLANK('By Round'!K65),"",'By Round'!K65)</f>
        <v/>
      </c>
      <c r="L77" s="20">
        <f>SUM(AB77:AE77)</f>
        <v/>
      </c>
      <c r="M77" s="9">
        <f>SUM(AF77:AI77)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  <c r="J3" t="n">
        <v>20</v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  <c r="J4" t="n">
        <v>410</v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>
        <v>70</v>
      </c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  <c r="J6" t="n">
        <v>620</v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  <c r="K7" t="n">
        <v>500</v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>
        <v>300</v>
      </c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  <c r="J9" t="n">
        <v>280</v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  <c r="J10" t="n">
        <v>230</v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>
        <v>520</v>
      </c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  <c r="J12" t="inlineStr">
        <is>
          <t>Avg</t>
        </is>
      </c>
      <c r="K12" t="inlineStr">
        <is>
          <t>Avg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  <c r="K13" t="n">
        <v>220</v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>
        <v>600</v>
      </c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  <c r="J15" t="n">
        <v>760</v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  <c r="K16" t="n">
        <v>730</v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>
        <v>760</v>
      </c>
      <c r="K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  <c r="J18" t="n">
        <v>700</v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  <c r="J19" t="inlineStr">
        <is>
          <t>Avg</t>
        </is>
      </c>
      <c r="K19" t="inlineStr">
        <is>
          <t>Avg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>
        <v>770</v>
      </c>
      <c r="K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  <c r="K21" t="n">
        <v>90</v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  <c r="K22" t="n">
        <v>560</v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>
        <v>770</v>
      </c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  <c r="K24" t="n">
        <v>40</v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  <c r="K25" t="n">
        <v>80</v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>
        <v>660</v>
      </c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  <c r="K27" t="n">
        <v>370</v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  <c r="K28" t="n">
        <v>500</v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>
        <v>430</v>
      </c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  <c r="K30" t="n">
        <v>30</v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  <c r="K31" t="n">
        <v>330</v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>
        <v>270</v>
      </c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  <c r="K33" t="n">
        <v>780</v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  <c r="J34" t="n">
        <v>770</v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>
        <v>390</v>
      </c>
      <c r="K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  <c r="J36" t="n">
        <v>460</v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  <c r="K37" t="n">
        <v>590</v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>
        <v>750</v>
      </c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  <c r="K39" t="n">
        <v>640</v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  <c r="J40" t="n">
        <v>460</v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>
        <v>120</v>
      </c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  <c r="K42" t="n">
        <v>490</v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  <c r="J43" t="n">
        <v>570</v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>
        <v>360</v>
      </c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  <c r="J45" t="n">
        <v>530</v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  <c r="J46" t="inlineStr">
        <is>
          <t>Avg</t>
        </is>
      </c>
      <c r="K46" t="inlineStr">
        <is>
          <t>Avg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>
        <v>280</v>
      </c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  <c r="J48" t="n">
        <v>260</v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  <c r="J49" t="n">
        <v>420</v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>
        <v>700</v>
      </c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  <c r="K51" t="n">
        <v>310</v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  <c r="J52" t="n">
        <v>720</v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>
        <v>270</v>
      </c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  <c r="J54" t="inlineStr">
        <is>
          <t>Avg</t>
        </is>
      </c>
      <c r="K54" t="inlineStr">
        <is>
          <t>Avg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  <c r="K55" t="n">
        <v>700</v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>
        <v>640</v>
      </c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  <c r="J57" t="n">
        <v>260</v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  <c r="J58" t="n">
        <v>50</v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inlineStr">
        <is>
          <t>Avg</t>
        </is>
      </c>
      <c r="K59" s="7" t="inlineStr">
        <is>
          <t>Avg</t>
        </is>
      </c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  <c r="K60" t="n">
        <v>190</v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  <c r="J61" t="inlineStr">
        <is>
          <t>Avg</t>
        </is>
      </c>
      <c r="K61" t="inlineStr">
        <is>
          <t>Avg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>
        <v>170</v>
      </c>
      <c r="K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  <c r="K63" t="n">
        <v>380</v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  <c r="J64" t="n">
        <v>90</v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>
        <v>160</v>
      </c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  <c r="J66" t="n">
        <v>610</v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  <c r="K67" t="n">
        <v>380</v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>
        <v>620</v>
      </c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  <c r="J69" t="inlineStr">
        <is>
          <t>Avg</t>
        </is>
      </c>
      <c r="K69" t="inlineStr">
        <is>
          <t>Avg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  <c r="J70" t="n">
        <v>610</v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>
        <v>560</v>
      </c>
      <c r="K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  <c r="J72" t="n">
        <v>460</v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  <c r="J73" t="inlineStr">
        <is>
          <t>Avg</t>
        </is>
      </c>
      <c r="K73" t="inlineStr">
        <is>
          <t>Avg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>
        <v>800</v>
      </c>
      <c r="K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  <c r="J75" t="inlineStr">
        <is>
          <t>Avg</t>
        </is>
      </c>
      <c r="K75" t="inlineStr">
        <is>
          <t>Avg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  <c r="J76" t="n">
        <v>260</v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>
        <v>780</v>
      </c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2026-02-06T00:27:31Z</dcterms:created>
  <dcterms:modified xsi:type="dcterms:W3CDTF">2026-02-06T00:27:31Z</dcterms:modified>
</cp:coreProperties>
</file>