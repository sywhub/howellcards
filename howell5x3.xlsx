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Aug 05,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5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29</t>
        </is>
      </c>
      <c r="C10" t="inlineStr">
        <is>
          <t>Name 16</t>
        </is>
      </c>
      <c r="D10" s="4">
        <f>SUMIF('By Board'!D3:D47,"="&amp;A10,'By Board'!Q3:Q47)/15+SUMIF('By Board'!E3:E47,"="&amp;A10,'By Board'!R3:R47)/15</f>
        <v/>
      </c>
      <c r="E10" s="5">
        <f>SUMIF('By Board'!D3:D47,"="&amp;A10,'By Board'!M3:M47)+SUMIF('By Board'!E3:E47,"="&amp;A10,'By Board'!N3:N47)</f>
        <v/>
      </c>
    </row>
    <row r="11">
      <c r="A11" s="2" t="n">
        <v>2</v>
      </c>
      <c r="B11" t="inlineStr">
        <is>
          <t>Name 79</t>
        </is>
      </c>
      <c r="C11" t="inlineStr">
        <is>
          <t>Name 83</t>
        </is>
      </c>
      <c r="D11" s="4">
        <f>SUMIF('By Board'!D3:D47,"="&amp;A11,'By Board'!Q3:Q47)/15+SUMIF('By Board'!E3:E47,"="&amp;A11,'By Board'!R3:R47)/15</f>
        <v/>
      </c>
      <c r="E11" s="5">
        <f>SUMIF('By Board'!D3:D47,"="&amp;A11,'By Board'!M3:M47)+SUMIF('By Board'!E3:E47,"="&amp;A11,'By Board'!N3:N47)</f>
        <v/>
      </c>
    </row>
    <row r="12">
      <c r="A12" s="2" t="n">
        <v>3</v>
      </c>
      <c r="B12" t="inlineStr">
        <is>
          <t>Name 21</t>
        </is>
      </c>
      <c r="C12" t="inlineStr">
        <is>
          <t>Name 82</t>
        </is>
      </c>
      <c r="D12" s="4">
        <f>SUMIF('By Board'!D3:D47,"="&amp;A12,'By Board'!Q3:Q47)/15+SUMIF('By Board'!E3:E47,"="&amp;A12,'By Board'!R3:R47)/15</f>
        <v/>
      </c>
      <c r="E12" s="5">
        <f>SUMIF('By Board'!D3:D47,"="&amp;A12,'By Board'!M3:M47)+SUMIF('By Board'!E3:E47,"="&amp;A12,'By Board'!N3:N47)</f>
        <v/>
      </c>
    </row>
    <row r="13">
      <c r="A13" s="2" t="n">
        <v>4</v>
      </c>
      <c r="B13" t="inlineStr">
        <is>
          <t>Name 54</t>
        </is>
      </c>
      <c r="C13" t="inlineStr">
        <is>
          <t>Name 30</t>
        </is>
      </c>
      <c r="D13" s="4">
        <f>SUMIF('By Board'!D3:D47,"="&amp;A13,'By Board'!Q3:Q47)/15+SUMIF('By Board'!E3:E47,"="&amp;A13,'By Board'!R3:R47)/15</f>
        <v/>
      </c>
      <c r="E13" s="5">
        <f>SUMIF('By Board'!D3:D47,"="&amp;A13,'By Board'!M3:M47)+SUMIF('By Board'!E3:E47,"="&amp;A13,'By Board'!N3:N47)</f>
        <v/>
      </c>
    </row>
    <row r="14">
      <c r="A14" s="2" t="n">
        <v>5</v>
      </c>
      <c r="B14" t="inlineStr">
        <is>
          <t>Name 25</t>
        </is>
      </c>
      <c r="C14" t="inlineStr">
        <is>
          <t>Name 34</t>
        </is>
      </c>
      <c r="D14" s="4">
        <f>SUMIF('By Board'!D3:D47,"="&amp;A14,'By Board'!Q3:Q47)/15+SUMIF('By Board'!E3:E47,"="&amp;A14,'By Board'!R3:R47)/15</f>
        <v/>
      </c>
      <c r="E14" s="5">
        <f>SUMIF('By Board'!D3:D47,"="&amp;A14,'By Board'!M3:M47)+SUMIF('By Board'!E3:E47,"="&amp;A14,'By Board'!N3:N47)</f>
        <v/>
      </c>
    </row>
    <row r="15">
      <c r="D15" s="6">
        <f>AVERAGE(D10:D14)</f>
        <v/>
      </c>
      <c r="E15" s="7">
        <f>SUM(E10:E14)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IF(ISNUMBER(T3),IF(ISNUMBER(T4),IF(T3&gt;T4,1.0,IF(T3=T4,0.5,0.0)),0.5),0.5)</f>
        <v/>
      </c>
      <c r="X3">
        <f>IF(ISNUMBER(T3),IF(ISNUMBER(T5),IF(T3&gt;T5,1.0,IF(T3=T5,0.5,0.0)),0.5),0.5)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Round'!A15</f>
        <v/>
      </c>
      <c r="C4" s="10">
        <f>'By Round'!B21</f>
        <v/>
      </c>
      <c r="D4" s="10">
        <f>'By Round'!C21</f>
        <v/>
      </c>
      <c r="E4" s="10">
        <f>'By Round'!D21</f>
        <v/>
      </c>
      <c r="F4" s="10">
        <f>IF(ISBLANK('By Round'!F21),"",'By Round'!F21)</f>
        <v/>
      </c>
      <c r="G4">
        <f>IF(ISBLANK('By Round'!G21),"",'By Round'!G21)</f>
        <v/>
      </c>
      <c r="H4">
        <f>IF(ISBLANK('By Round'!H21),"",'By Round'!H21)</f>
        <v/>
      </c>
      <c r="I4">
        <f>IF(ISBLANK('By Round'!I21),"",'By Round'!I21)</f>
        <v/>
      </c>
      <c r="J4">
        <f>IF(ISBLANK('By Round'!J21),"",'By Round'!J21)</f>
        <v/>
      </c>
      <c r="K4">
        <f>IF(ISBLANK('By Round'!K21),"",'By Round'!K21)</f>
        <v/>
      </c>
      <c r="L4">
        <f>IF(ISBLANK('By Round'!L21),"",'By Round'!L21)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IF(ISNUMBER(T4),IF(ISNUMBER(T3),IF(T4&gt;T3,1.0,IF(T4=T3,0.5,0.0)),0.5),0.5)</f>
        <v/>
      </c>
      <c r="X4">
        <f>IF(ISNUMBER(T4),IF(ISNUMBER(T5),IF(T4&gt;T5,1.0,IF(T4=T5,0.5,0.0)),0.5),0.5)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Round'!A21</f>
        <v/>
      </c>
      <c r="C5" s="16">
        <f>'By Round'!B27</f>
        <v/>
      </c>
      <c r="D5" s="16">
        <f>'By Round'!C27</f>
        <v/>
      </c>
      <c r="E5" s="16">
        <f>'By Round'!D27</f>
        <v/>
      </c>
      <c r="F5" s="16">
        <f>IF(ISBLANK('By Round'!F27),"",'By Round'!F27)</f>
        <v/>
      </c>
      <c r="G5" s="15">
        <f>IF(ISBLANK('By Round'!G27),"",'By Round'!G27)</f>
        <v/>
      </c>
      <c r="H5" s="15">
        <f>IF(ISBLANK('By Round'!H27),"",'By Round'!H27)</f>
        <v/>
      </c>
      <c r="I5" s="15">
        <f>IF(ISBLANK('By Round'!I27),"",'By Round'!I27)</f>
        <v/>
      </c>
      <c r="J5" s="15">
        <f>IF(ISBLANK('By Round'!J27),"",'By Round'!J27)</f>
        <v/>
      </c>
      <c r="K5" s="15">
        <f>IF(ISBLANK('By Round'!K27),"",'By Round'!K27)</f>
        <v/>
      </c>
      <c r="L5" s="15">
        <f>IF(ISBLANK('By Round'!L27),"",'By Round'!L27)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IF(ISNUMBER(S5),IF(ISNUMBER(S3),IF(S5&gt;S3,1.0,IF(S5=S3,0.5,0.0)),0.5),0.5)</f>
        <v/>
      </c>
      <c r="V5" s="15">
        <f>IF(ISNUMBER(S5),IF(ISNUMBER(S4),IF(S5&gt;S4,1.0,IF(S5=S4,0.5,0.0)),0.5),0.5)</f>
        <v/>
      </c>
      <c r="W5" s="15">
        <f>IF(ISNUMBER(T5),IF(ISNUMBER(T3),IF(T5&gt;T3,1.0,IF(T5=T3,0.5,0.0)),0.5),0.5)</f>
        <v/>
      </c>
      <c r="X5" s="15">
        <f>IF(ISNUMBER(T5),IF(ISNUMBER(T4),IF(T5&gt;T4,1.0,IF(T5=T4,0.5,0.0)),0.5),0.5)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Round'!A3</f>
        <v/>
      </c>
      <c r="C6" s="10">
        <f>'By Round'!B3</f>
        <v/>
      </c>
      <c r="D6" s="10">
        <f>'By Round'!C3</f>
        <v/>
      </c>
      <c r="E6" s="10">
        <f>'By Round'!D3</f>
        <v/>
      </c>
      <c r="F6" s="10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IF(ISNUMBER(S6),IF(ISNUMBER(S7),IF(S6&gt;S7,1.0,IF(S6=S7,0.5,0.0)),0.5),0.5)</f>
        <v/>
      </c>
      <c r="V6">
        <f>IF(ISNUMBER(S6),IF(ISNUMBER(S8),IF(S6&gt;S8,1.0,IF(S6=S8,0.5,0.0)),0.5),0.5)</f>
        <v/>
      </c>
      <c r="W6">
        <f>IF(ISNUMBER(T6),IF(ISNUMBER(T7),IF(T6&gt;T7,1.0,IF(T6=T7,0.5,0.0)),0.5),0.5)</f>
        <v/>
      </c>
      <c r="X6">
        <f>IF(ISNUMBER(T6),IF(ISNUMBER(T8),IF(T6&gt;T8,1.0,IF(T6=T8,0.5,0.0)),0.5),0.5)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Round'!A15</f>
        <v/>
      </c>
      <c r="C7" s="10">
        <f>'By Round'!B21</f>
        <v/>
      </c>
      <c r="D7" s="10">
        <f>'By Round'!C21</f>
        <v/>
      </c>
      <c r="E7" s="10">
        <f>'By Round'!D21</f>
        <v/>
      </c>
      <c r="F7" s="10">
        <f>IF(ISBLANK('By Round'!F22),"",'By Round'!F22)</f>
        <v/>
      </c>
      <c r="G7">
        <f>IF(ISBLANK('By Round'!G22),"",'By Round'!G22)</f>
        <v/>
      </c>
      <c r="H7">
        <f>IF(ISBLANK('By Round'!H22),"",'By Round'!H22)</f>
        <v/>
      </c>
      <c r="I7">
        <f>IF(ISBLANK('By Round'!I22),"",'By Round'!I22)</f>
        <v/>
      </c>
      <c r="J7">
        <f>IF(ISBLANK('By Round'!J22),"",'By Round'!J22)</f>
        <v/>
      </c>
      <c r="K7">
        <f>IF(ISBLANK('By Round'!K22),"",'By Round'!K22)</f>
        <v/>
      </c>
      <c r="L7">
        <f>IF(ISBLANK('By Round'!L22),"",'By Round'!L22)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IF(ISNUMBER(S7),IF(ISNUMBER(S6),IF(S7&gt;S6,1.0,IF(S7=S6,0.5,0.0)),0.5),0.5)</f>
        <v/>
      </c>
      <c r="V7">
        <f>IF(ISNUMBER(S7),IF(ISNUMBER(S8),IF(S7&gt;S8,1.0,IF(S7=S8,0.5,0.0)),0.5),0.5)</f>
        <v/>
      </c>
      <c r="W7">
        <f>IF(ISNUMBER(T7),IF(ISNUMBER(T6),IF(T7&gt;T6,1.0,IF(T7=T6,0.5,0.0)),0.5),0.5)</f>
        <v/>
      </c>
      <c r="X7">
        <f>IF(ISNUMBER(T7),IF(ISNUMBER(T8),IF(T7&gt;T8,1.0,IF(T7=T8,0.5,0.0)),0.5),0.5)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Round'!A21</f>
        <v/>
      </c>
      <c r="C8" s="16">
        <f>'By Round'!B27</f>
        <v/>
      </c>
      <c r="D8" s="16">
        <f>'By Round'!C27</f>
        <v/>
      </c>
      <c r="E8" s="16">
        <f>'By Round'!D27</f>
        <v/>
      </c>
      <c r="F8" s="16">
        <f>IF(ISBLANK('By Round'!F28),"",'By Round'!F28)</f>
        <v/>
      </c>
      <c r="G8" s="15">
        <f>IF(ISBLANK('By Round'!G28),"",'By Round'!G28)</f>
        <v/>
      </c>
      <c r="H8" s="15">
        <f>IF(ISBLANK('By Round'!H28),"",'By Round'!H28)</f>
        <v/>
      </c>
      <c r="I8" s="15">
        <f>IF(ISBLANK('By Round'!I28),"",'By Round'!I28)</f>
        <v/>
      </c>
      <c r="J8" s="15">
        <f>IF(ISBLANK('By Round'!J28),"",'By Round'!J28)</f>
        <v/>
      </c>
      <c r="K8" s="15">
        <f>IF(ISBLANK('By Round'!K28),"",'By Round'!K28)</f>
        <v/>
      </c>
      <c r="L8" s="15">
        <f>IF(ISBLANK('By Round'!L28),"",'By Round'!L28)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IF(ISNUMBER(S8),IF(ISNUMBER(S6),IF(S8&gt;S6,1.0,IF(S8=S6,0.5,0.0)),0.5),0.5)</f>
        <v/>
      </c>
      <c r="V8" s="15">
        <f>IF(ISNUMBER(S8),IF(ISNUMBER(S7),IF(S8&gt;S7,1.0,IF(S8=S7,0.5,0.0)),0.5),0.5)</f>
        <v/>
      </c>
      <c r="W8" s="15">
        <f>IF(ISNUMBER(T8),IF(ISNUMBER(T6),IF(T8&gt;T6,1.0,IF(T8=T6,0.5,0.0)),0.5),0.5)</f>
        <v/>
      </c>
      <c r="X8" s="15">
        <f>IF(ISNUMBER(T8),IF(ISNUMBER(T7),IF(T8&gt;T7,1.0,IF(T8=T7,0.5,0.0)),0.5),0.5)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Round'!A3</f>
        <v/>
      </c>
      <c r="C9" s="10">
        <f>'By Round'!B3</f>
        <v/>
      </c>
      <c r="D9" s="10">
        <f>'By Round'!C3</f>
        <v/>
      </c>
      <c r="E9" s="10">
        <f>'By Round'!D3</f>
        <v/>
      </c>
      <c r="F9" s="10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IF(ISNUMBER(S9),IF(ISNUMBER(S10),IF(S9&gt;S10,1.0,IF(S9=S10,0.5,0.0)),0.5),0.5)</f>
        <v/>
      </c>
      <c r="V9">
        <f>IF(ISNUMBER(S9),IF(ISNUMBER(S11),IF(S9&gt;S11,1.0,IF(S9=S11,0.5,0.0)),0.5),0.5)</f>
        <v/>
      </c>
      <c r="W9">
        <f>IF(ISNUMBER(T9),IF(ISNUMBER(T10),IF(T9&gt;T10,1.0,IF(T9=T10,0.5,0.0)),0.5),0.5)</f>
        <v/>
      </c>
      <c r="X9">
        <f>IF(ISNUMBER(T9),IF(ISNUMBER(T11),IF(T9&gt;T11,1.0,IF(T9=T11,0.5,0.0)),0.5),0.5)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Round'!A15</f>
        <v/>
      </c>
      <c r="C10" s="10">
        <f>'By Round'!B21</f>
        <v/>
      </c>
      <c r="D10" s="10">
        <f>'By Round'!C21</f>
        <v/>
      </c>
      <c r="E10" s="10">
        <f>'By Round'!D21</f>
        <v/>
      </c>
      <c r="F10" s="10">
        <f>IF(ISBLANK('By Round'!F23),"",'By Round'!F23)</f>
        <v/>
      </c>
      <c r="G10">
        <f>IF(ISBLANK('By Round'!G23),"",'By Round'!G23)</f>
        <v/>
      </c>
      <c r="H10">
        <f>IF(ISBLANK('By Round'!H23),"",'By Round'!H23)</f>
        <v/>
      </c>
      <c r="I10">
        <f>IF(ISBLANK('By Round'!I23),"",'By Round'!I23)</f>
        <v/>
      </c>
      <c r="J10">
        <f>IF(ISBLANK('By Round'!J23),"",'By Round'!J23)</f>
        <v/>
      </c>
      <c r="K10">
        <f>IF(ISBLANK('By Round'!K23),"",'By Round'!K23)</f>
        <v/>
      </c>
      <c r="L10">
        <f>IF(ISBLANK('By Round'!L23),"",'By Round'!L23)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IF(ISNUMBER(S10),IF(ISNUMBER(S9),IF(S10&gt;S9,1.0,IF(S10=S9,0.5,0.0)),0.5),0.5)</f>
        <v/>
      </c>
      <c r="V10">
        <f>IF(ISNUMBER(S10),IF(ISNUMBER(S11),IF(S10&gt;S11,1.0,IF(S10=S11,0.5,0.0)),0.5),0.5)</f>
        <v/>
      </c>
      <c r="W10">
        <f>IF(ISNUMBER(T10),IF(ISNUMBER(T9),IF(T10&gt;T9,1.0,IF(T10=T9,0.5,0.0)),0.5),0.5)</f>
        <v/>
      </c>
      <c r="X10">
        <f>IF(ISNUMBER(T10),IF(ISNUMBER(T11),IF(T10&gt;T11,1.0,IF(T10=T11,0.5,0.0)),0.5),0.5)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Round'!A21</f>
        <v/>
      </c>
      <c r="C11" s="16">
        <f>'By Round'!B27</f>
        <v/>
      </c>
      <c r="D11" s="16">
        <f>'By Round'!C27</f>
        <v/>
      </c>
      <c r="E11" s="16">
        <f>'By Round'!D27</f>
        <v/>
      </c>
      <c r="F11" s="16">
        <f>IF(ISBLANK('By Round'!F29),"",'By Round'!F29)</f>
        <v/>
      </c>
      <c r="G11" s="15">
        <f>IF(ISBLANK('By Round'!G29),"",'By Round'!G29)</f>
        <v/>
      </c>
      <c r="H11" s="15">
        <f>IF(ISBLANK('By Round'!H29),"",'By Round'!H29)</f>
        <v/>
      </c>
      <c r="I11" s="15">
        <f>IF(ISBLANK('By Round'!I29),"",'By Round'!I29)</f>
        <v/>
      </c>
      <c r="J11" s="15">
        <f>IF(ISBLANK('By Round'!J29),"",'By Round'!J29)</f>
        <v/>
      </c>
      <c r="K11" s="15">
        <f>IF(ISBLANK('By Round'!K29),"",'By Round'!K29)</f>
        <v/>
      </c>
      <c r="L11" s="15">
        <f>IF(ISBLANK('By Round'!L29),"",'By Round'!L29)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IF(ISNUMBER(S11),IF(ISNUMBER(S9),IF(S11&gt;S9,1.0,IF(S11=S9,0.5,0.0)),0.5),0.5)</f>
        <v/>
      </c>
      <c r="V11" s="15">
        <f>IF(ISNUMBER(S11),IF(ISNUMBER(S10),IF(S11&gt;S10,1.0,IF(S11=S10,0.5,0.0)),0.5),0.5)</f>
        <v/>
      </c>
      <c r="W11" s="15">
        <f>IF(ISNUMBER(T11),IF(ISNUMBER(T9),IF(T11&gt;T9,1.0,IF(T11=T9,0.5,0.0)),0.5),0.5)</f>
        <v/>
      </c>
      <c r="X11" s="15">
        <f>IF(ISNUMBER(T11),IF(ISNUMBER(T10),IF(T11&gt;T10,1.0,IF(T11=T10,0.5,0.0)),0.5),0.5)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Round'!A9</f>
        <v/>
      </c>
      <c r="C12" s="10">
        <f>'By Round'!B9</f>
        <v/>
      </c>
      <c r="D12" s="10">
        <f>'By Round'!C9</f>
        <v/>
      </c>
      <c r="E12" s="10">
        <f>'By Round'!D9</f>
        <v/>
      </c>
      <c r="F12" s="10">
        <f>IF(ISBLANK('By Round'!F9),"",'By Round'!F9)</f>
        <v/>
      </c>
      <c r="G12">
        <f>IF(ISBLANK('By Round'!G9),"",'By Round'!G9)</f>
        <v/>
      </c>
      <c r="H12">
        <f>IF(ISBLANK('By Round'!H9),"",'By Round'!H9)</f>
        <v/>
      </c>
      <c r="I12">
        <f>IF(ISBLANK('By Round'!I9),"",'By Round'!I9)</f>
        <v/>
      </c>
      <c r="J12">
        <f>IF(ISBLANK('By Round'!J9),"",'By Round'!J9)</f>
        <v/>
      </c>
      <c r="K12">
        <f>IF(ISBLANK('By Round'!K9),"",'By Round'!K9)</f>
        <v/>
      </c>
      <c r="L12">
        <f>IF(ISBLANK('By Round'!L9),"",'By Round'!L9)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IF(ISNUMBER(S12),IF(ISNUMBER(S13),IF(S12&gt;S13,1.0,IF(S12=S13,0.5,0.0)),0.5),0.5)</f>
        <v/>
      </c>
      <c r="V12">
        <f>IF(ISNUMBER(S12),IF(ISNUMBER(S14),IF(S12&gt;S14,1.0,IF(S12=S14,0.5,0.0)),0.5),0.5)</f>
        <v/>
      </c>
      <c r="W12">
        <f>IF(ISNUMBER(T12),IF(ISNUMBER(T13),IF(T12&gt;T13,1.0,IF(T12=T13,0.5,0.0)),0.5),0.5)</f>
        <v/>
      </c>
      <c r="X12">
        <f>IF(ISNUMBER(T12),IF(ISNUMBER(T14),IF(T12&gt;T14,1.0,IF(T12=T14,0.5,0.0)),0.5),0.5)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Round'!A3</f>
        <v/>
      </c>
      <c r="C13" s="10">
        <f>'By Round'!B6</f>
        <v/>
      </c>
      <c r="D13" s="10">
        <f>'By Round'!C6</f>
        <v/>
      </c>
      <c r="E13" s="10">
        <f>'By Round'!D6</f>
        <v/>
      </c>
      <c r="F13" s="10">
        <f>IF(ISBLANK('By Round'!F6),"",'By Round'!F6)</f>
        <v/>
      </c>
      <c r="G13">
        <f>IF(ISBLANK('By Round'!G6),"",'By Round'!G6)</f>
        <v/>
      </c>
      <c r="H13">
        <f>IF(ISBLANK('By Round'!H6),"",'By Round'!H6)</f>
        <v/>
      </c>
      <c r="I13">
        <f>IF(ISBLANK('By Round'!I6),"",'By Round'!I6)</f>
        <v/>
      </c>
      <c r="J13">
        <f>IF(ISBLANK('By Round'!J6),"",'By Round'!J6)</f>
        <v/>
      </c>
      <c r="K13">
        <f>IF(ISBLANK('By Round'!K6),"",'By Round'!K6)</f>
        <v/>
      </c>
      <c r="L13">
        <f>IF(ISBLANK('By Round'!L6),"",'By Round'!L6)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IF(ISNUMBER(S13),IF(ISNUMBER(S12),IF(S13&gt;S12,1.0,IF(S13=S12,0.5,0.0)),0.5),0.5)</f>
        <v/>
      </c>
      <c r="V13">
        <f>IF(ISNUMBER(S13),IF(ISNUMBER(S14),IF(S13&gt;S14,1.0,IF(S13=S14,0.5,0.0)),0.5),0.5)</f>
        <v/>
      </c>
      <c r="W13">
        <f>IF(ISNUMBER(T13),IF(ISNUMBER(T12),IF(T13&gt;T12,1.0,IF(T13=T12,0.5,0.0)),0.5),0.5)</f>
        <v/>
      </c>
      <c r="X13">
        <f>IF(ISNUMBER(T13),IF(ISNUMBER(T14),IF(T13&gt;T14,1.0,IF(T13=T14,0.5,0.0)),0.5),0.5)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Round'!A15</f>
        <v/>
      </c>
      <c r="C14" s="16">
        <f>'By Round'!B18</f>
        <v/>
      </c>
      <c r="D14" s="16">
        <f>'By Round'!C18</f>
        <v/>
      </c>
      <c r="E14" s="16">
        <f>'By Round'!D18</f>
        <v/>
      </c>
      <c r="F14" s="16">
        <f>IF(ISBLANK('By Round'!F18),"",'By Round'!F18)</f>
        <v/>
      </c>
      <c r="G14" s="15">
        <f>IF(ISBLANK('By Round'!G18),"",'By Round'!G18)</f>
        <v/>
      </c>
      <c r="H14" s="15">
        <f>IF(ISBLANK('By Round'!H18),"",'By Round'!H18)</f>
        <v/>
      </c>
      <c r="I14" s="15">
        <f>IF(ISBLANK('By Round'!I18),"",'By Round'!I18)</f>
        <v/>
      </c>
      <c r="J14" s="15">
        <f>IF(ISBLANK('By Round'!J18),"",'By Round'!J18)</f>
        <v/>
      </c>
      <c r="K14" s="15">
        <f>IF(ISBLANK('By Round'!K18),"",'By Round'!K18)</f>
        <v/>
      </c>
      <c r="L14" s="15">
        <f>IF(ISBLANK('By Round'!L18),"",'By Round'!L18)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IF(ISNUMBER(S14),IF(ISNUMBER(S12),IF(S14&gt;S12,1.0,IF(S14=S12,0.5,0.0)),0.5),0.5)</f>
        <v/>
      </c>
      <c r="V14" s="15">
        <f>IF(ISNUMBER(S14),IF(ISNUMBER(S13),IF(S14&gt;S13,1.0,IF(S14=S13,0.5,0.0)),0.5),0.5)</f>
        <v/>
      </c>
      <c r="W14" s="15">
        <f>IF(ISNUMBER(T14),IF(ISNUMBER(T12),IF(T14&gt;T12,1.0,IF(T14=T12,0.5,0.0)),0.5),0.5)</f>
        <v/>
      </c>
      <c r="X14" s="15">
        <f>IF(ISNUMBER(T14),IF(ISNUMBER(T13),IF(T14&gt;T13,1.0,IF(T14=T13,0.5,0.0)),0.5),0.5)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Round'!A9</f>
        <v/>
      </c>
      <c r="C15" s="10">
        <f>'By Round'!B9</f>
        <v/>
      </c>
      <c r="D15" s="10">
        <f>'By Round'!C9</f>
        <v/>
      </c>
      <c r="E15" s="10">
        <f>'By Round'!D9</f>
        <v/>
      </c>
      <c r="F15" s="10">
        <f>IF(ISBLANK('By Round'!F10),"",'By Round'!F10)</f>
        <v/>
      </c>
      <c r="G15">
        <f>IF(ISBLANK('By Round'!G10),"",'By Round'!G10)</f>
        <v/>
      </c>
      <c r="H15">
        <f>IF(ISBLANK('By Round'!H10),"",'By Round'!H10)</f>
        <v/>
      </c>
      <c r="I15">
        <f>IF(ISBLANK('By Round'!I10),"",'By Round'!I10)</f>
        <v/>
      </c>
      <c r="J15">
        <f>IF(ISBLANK('By Round'!J10),"",'By Round'!J10)</f>
        <v/>
      </c>
      <c r="K15">
        <f>IF(ISBLANK('By Round'!K10),"",'By Round'!K10)</f>
        <v/>
      </c>
      <c r="L15">
        <f>IF(ISBLANK('By Round'!L10),"",'By Round'!L10)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IF(ISNUMBER(T15),IF(ISNUMBER(T16),IF(T15&gt;T16,1.0,IF(T15=T16,0.5,0.0)),0.5),0.5)</f>
        <v/>
      </c>
      <c r="X15">
        <f>IF(ISNUMBER(T15),IF(ISNUMBER(T17),IF(T15&gt;T17,1.0,IF(T15=T17,0.5,0.0)),0.5),0.5)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Round'!A3</f>
        <v/>
      </c>
      <c r="C16" s="10">
        <f>'By Round'!B6</f>
        <v/>
      </c>
      <c r="D16" s="10">
        <f>'By Round'!C6</f>
        <v/>
      </c>
      <c r="E16" s="10">
        <f>'By Round'!D6</f>
        <v/>
      </c>
      <c r="F16" s="10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IF(ISNUMBER(T16),IF(ISNUMBER(T15),IF(T16&gt;T15,1.0,IF(T16=T15,0.5,0.0)),0.5),0.5)</f>
        <v/>
      </c>
      <c r="X16">
        <f>IF(ISNUMBER(T16),IF(ISNUMBER(T17),IF(T16&gt;T17,1.0,IF(T16=T17,0.5,0.0)),0.5),0.5)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Round'!A15</f>
        <v/>
      </c>
      <c r="C17" s="16">
        <f>'By Round'!B18</f>
        <v/>
      </c>
      <c r="D17" s="16">
        <f>'By Round'!C18</f>
        <v/>
      </c>
      <c r="E17" s="16">
        <f>'By Round'!D18</f>
        <v/>
      </c>
      <c r="F17" s="16">
        <f>IF(ISBLANK('By Round'!F19),"",'By Round'!F19)</f>
        <v/>
      </c>
      <c r="G17" s="15">
        <f>IF(ISBLANK('By Round'!G19),"",'By Round'!G19)</f>
        <v/>
      </c>
      <c r="H17" s="15">
        <f>IF(ISBLANK('By Round'!H19),"",'By Round'!H19)</f>
        <v/>
      </c>
      <c r="I17" s="15">
        <f>IF(ISBLANK('By Round'!I19),"",'By Round'!I19)</f>
        <v/>
      </c>
      <c r="J17" s="15">
        <f>IF(ISBLANK('By Round'!J19),"",'By Round'!J19)</f>
        <v/>
      </c>
      <c r="K17" s="15">
        <f>IF(ISBLANK('By Round'!K19),"",'By Round'!K19)</f>
        <v/>
      </c>
      <c r="L17" s="15">
        <f>IF(ISBLANK('By Round'!L19),"",'By Round'!L19)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IF(ISNUMBER(S17),IF(ISNUMBER(S15),IF(S17&gt;S15,1.0,IF(S17=S15,0.5,0.0)),0.5),0.5)</f>
        <v/>
      </c>
      <c r="V17" s="15">
        <f>IF(ISNUMBER(S17),IF(ISNUMBER(S16),IF(S17&gt;S16,1.0,IF(S17=S16,0.5,0.0)),0.5),0.5)</f>
        <v/>
      </c>
      <c r="W17" s="15">
        <f>IF(ISNUMBER(T17),IF(ISNUMBER(T15),IF(T17&gt;T15,1.0,IF(T17=T15,0.5,0.0)),0.5),0.5)</f>
        <v/>
      </c>
      <c r="X17" s="15">
        <f>IF(ISNUMBER(T17),IF(ISNUMBER(T16),IF(T17&gt;T16,1.0,IF(T17=T16,0.5,0.0)),0.5),0.5)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Round'!A9</f>
        <v/>
      </c>
      <c r="C18" s="10">
        <f>'By Round'!B9</f>
        <v/>
      </c>
      <c r="D18" s="10">
        <f>'By Round'!C9</f>
        <v/>
      </c>
      <c r="E18" s="10">
        <f>'By Round'!D9</f>
        <v/>
      </c>
      <c r="F18" s="10">
        <f>IF(ISBLANK('By Round'!F11),"",'By Round'!F11)</f>
        <v/>
      </c>
      <c r="G18">
        <f>IF(ISBLANK('By Round'!G11),"",'By Round'!G11)</f>
        <v/>
      </c>
      <c r="H18">
        <f>IF(ISBLANK('By Round'!H11),"",'By Round'!H11)</f>
        <v/>
      </c>
      <c r="I18">
        <f>IF(ISBLANK('By Round'!I11),"",'By Round'!I11)</f>
        <v/>
      </c>
      <c r="J18">
        <f>IF(ISBLANK('By Round'!J11),"",'By Round'!J11)</f>
        <v/>
      </c>
      <c r="K18">
        <f>IF(ISBLANK('By Round'!K11),"",'By Round'!K11)</f>
        <v/>
      </c>
      <c r="L18">
        <f>IF(ISBLANK('By Round'!L11),"",'By Round'!L11)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IF(ISNUMBER(T18),IF(ISNUMBER(T19),IF(T18&gt;T19,1.0,IF(T18=T19,0.5,0.0)),0.5),0.5)</f>
        <v/>
      </c>
      <c r="X18">
        <f>IF(ISNUMBER(T18),IF(ISNUMBER(T20),IF(T18&gt;T20,1.0,IF(T18=T20,0.5,0.0)),0.5),0.5)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Round'!A3</f>
        <v/>
      </c>
      <c r="C19" s="10">
        <f>'By Round'!B6</f>
        <v/>
      </c>
      <c r="D19" s="10">
        <f>'By Round'!C6</f>
        <v/>
      </c>
      <c r="E19" s="10">
        <f>'By Round'!D6</f>
        <v/>
      </c>
      <c r="F19" s="10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IF(ISNUMBER(T19),IF(ISNUMBER(T18),IF(T19&gt;T18,1.0,IF(T19=T18,0.5,0.0)),0.5),0.5)</f>
        <v/>
      </c>
      <c r="X19">
        <f>IF(ISNUMBER(T19),IF(ISNUMBER(T20),IF(T19&gt;T20,1.0,IF(T19=T20,0.5,0.0)),0.5),0.5)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Round'!A15</f>
        <v/>
      </c>
      <c r="C20" s="16">
        <f>'By Round'!B18</f>
        <v/>
      </c>
      <c r="D20" s="16">
        <f>'By Round'!C18</f>
        <v/>
      </c>
      <c r="E20" s="16">
        <f>'By Round'!D18</f>
        <v/>
      </c>
      <c r="F20" s="16">
        <f>IF(ISBLANK('By Round'!F20),"",'By Round'!F20)</f>
        <v/>
      </c>
      <c r="G20" s="15">
        <f>IF(ISBLANK('By Round'!G20),"",'By Round'!G20)</f>
        <v/>
      </c>
      <c r="H20" s="15">
        <f>IF(ISBLANK('By Round'!H20),"",'By Round'!H20)</f>
        <v/>
      </c>
      <c r="I20" s="15">
        <f>IF(ISBLANK('By Round'!I20),"",'By Round'!I20)</f>
        <v/>
      </c>
      <c r="J20" s="15">
        <f>IF(ISBLANK('By Round'!J20),"",'By Round'!J20)</f>
        <v/>
      </c>
      <c r="K20" s="15">
        <f>IF(ISBLANK('By Round'!K20),"",'By Round'!K20)</f>
        <v/>
      </c>
      <c r="L20" s="15">
        <f>IF(ISBLANK('By Round'!L20),"",'By Round'!L20)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IF(ISNUMBER(S20),IF(ISNUMBER(S18),IF(S20&gt;S18,1.0,IF(S20=S18,0.5,0.0)),0.5),0.5)</f>
        <v/>
      </c>
      <c r="V20" s="15">
        <f>IF(ISNUMBER(S20),IF(ISNUMBER(S19),IF(S20&gt;S19,1.0,IF(S20=S19,0.5,0.0)),0.5),0.5)</f>
        <v/>
      </c>
      <c r="W20" s="15">
        <f>IF(ISNUMBER(T20),IF(ISNUMBER(T18),IF(T20&gt;T18,1.0,IF(T20=T18,0.5,0.0)),0.5),0.5)</f>
        <v/>
      </c>
      <c r="X20" s="15">
        <f>IF(ISNUMBER(T20),IF(ISNUMBER(T19),IF(T20&gt;T19,1.0,IF(T20=T19,0.5,0.0)),0.5),0.5)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Round'!A15</f>
        <v/>
      </c>
      <c r="C21" s="10">
        <f>'By Round'!B15</f>
        <v/>
      </c>
      <c r="D21" s="10">
        <f>'By Round'!C15</f>
        <v/>
      </c>
      <c r="E21" s="10">
        <f>'By Round'!D15</f>
        <v/>
      </c>
      <c r="F21" s="10">
        <f>IF(ISBLANK('By Round'!F15),"",'By Round'!F15)</f>
        <v/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>
        <f>IF(ISBLANK('By Round'!L15),"",'By Round'!L15)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IF(ISNUMBER(S21),IF(ISNUMBER(S22),IF(S21&gt;S22,1.0,IF(S21=S22,0.5,0.0)),0.5),0.5)</f>
        <v/>
      </c>
      <c r="V21">
        <f>IF(ISNUMBER(S21),IF(ISNUMBER(S23),IF(S21&gt;S23,1.0,IF(S21=S23,0.5,0.0)),0.5),0.5)</f>
        <v/>
      </c>
      <c r="W21">
        <f>IF(ISNUMBER(T21),IF(ISNUMBER(T22),IF(T21&gt;T22,1.0,IF(T21=T22,0.5,0.0)),0.5),0.5)</f>
        <v/>
      </c>
      <c r="X21">
        <f>IF(ISNUMBER(T21),IF(ISNUMBER(T23),IF(T21&gt;T23,1.0,IF(T21=T23,0.5,0.0)),0.5),0.5)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Round'!A21</f>
        <v/>
      </c>
      <c r="C22" s="10">
        <f>'By Round'!B24</f>
        <v/>
      </c>
      <c r="D22" s="10">
        <f>'By Round'!C24</f>
        <v/>
      </c>
      <c r="E22" s="10">
        <f>'By Round'!D24</f>
        <v/>
      </c>
      <c r="F22" s="10">
        <f>IF(ISBLANK('By Round'!F24),"",'By Round'!F24)</f>
        <v/>
      </c>
      <c r="G22">
        <f>IF(ISBLANK('By Round'!G24),"",'By Round'!G24)</f>
        <v/>
      </c>
      <c r="H22">
        <f>IF(ISBLANK('By Round'!H24),"",'By Round'!H24)</f>
        <v/>
      </c>
      <c r="I22">
        <f>IF(ISBLANK('By Round'!I24),"",'By Round'!I24)</f>
        <v/>
      </c>
      <c r="J22">
        <f>IF(ISBLANK('By Round'!J24),"",'By Round'!J24)</f>
        <v/>
      </c>
      <c r="K22">
        <f>IF(ISBLANK('By Round'!K24),"",'By Round'!K24)</f>
        <v/>
      </c>
      <c r="L22">
        <f>IF(ISBLANK('By Round'!L24),"",'By Round'!L24)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IF(ISNUMBER(S22),IF(ISNUMBER(S21),IF(S22&gt;S21,1.0,IF(S22=S21,0.5,0.0)),0.5),0.5)</f>
        <v/>
      </c>
      <c r="V22">
        <f>IF(ISNUMBER(S22),IF(ISNUMBER(S23),IF(S22&gt;S23,1.0,IF(S22=S23,0.5,0.0)),0.5),0.5)</f>
        <v/>
      </c>
      <c r="W22">
        <f>IF(ISNUMBER(T22),IF(ISNUMBER(T21),IF(T22&gt;T21,1.0,IF(T22=T21,0.5,0.0)),0.5),0.5)</f>
        <v/>
      </c>
      <c r="X22">
        <f>IF(ISNUMBER(T22),IF(ISNUMBER(T23),IF(T22&gt;T23,1.0,IF(T22=T23,0.5,0.0)),0.5),0.5)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Round'!A9</f>
        <v/>
      </c>
      <c r="C23" s="16">
        <f>'By Round'!B12</f>
        <v/>
      </c>
      <c r="D23" s="16">
        <f>'By Round'!C12</f>
        <v/>
      </c>
      <c r="E23" s="16">
        <f>'By Round'!D12</f>
        <v/>
      </c>
      <c r="F23" s="16">
        <f>IF(ISBLANK('By Round'!F12),"",'By Round'!F12)</f>
        <v/>
      </c>
      <c r="G23" s="15">
        <f>IF(ISBLANK('By Round'!G12),"",'By Round'!G12)</f>
        <v/>
      </c>
      <c r="H23" s="15">
        <f>IF(ISBLANK('By Round'!H12),"",'By Round'!H12)</f>
        <v/>
      </c>
      <c r="I23" s="15">
        <f>IF(ISBLANK('By Round'!I12),"",'By Round'!I12)</f>
        <v/>
      </c>
      <c r="J23" s="15">
        <f>IF(ISBLANK('By Round'!J12),"",'By Round'!J12)</f>
        <v/>
      </c>
      <c r="K23" s="15">
        <f>IF(ISBLANK('By Round'!K12),"",'By Round'!K12)</f>
        <v/>
      </c>
      <c r="L23" s="15">
        <f>IF(ISBLANK('By Round'!L12),"",'By Round'!L12)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IF(ISNUMBER(S23),IF(ISNUMBER(S21),IF(S23&gt;S21,1.0,IF(S23=S21,0.5,0.0)),0.5),0.5)</f>
        <v/>
      </c>
      <c r="V23" s="15">
        <f>IF(ISNUMBER(S23),IF(ISNUMBER(S22),IF(S23&gt;S22,1.0,IF(S23=S22,0.5,0.0)),0.5),0.5)</f>
        <v/>
      </c>
      <c r="W23" s="15">
        <f>IF(ISNUMBER(T23),IF(ISNUMBER(T21),IF(T23&gt;T21,1.0,IF(T23=T21,0.5,0.0)),0.5),0.5)</f>
        <v/>
      </c>
      <c r="X23" s="15">
        <f>IF(ISNUMBER(T23),IF(ISNUMBER(T22),IF(T23&gt;T22,1.0,IF(T23=T22,0.5,0.0)),0.5),0.5)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Round'!A15</f>
        <v/>
      </c>
      <c r="C24" s="10">
        <f>'By Round'!B15</f>
        <v/>
      </c>
      <c r="D24" s="10">
        <f>'By Round'!C15</f>
        <v/>
      </c>
      <c r="E24" s="10">
        <f>'By Round'!D15</f>
        <v/>
      </c>
      <c r="F24" s="10">
        <f>IF(ISBLANK('By Round'!F16),"",'By Round'!F16)</f>
        <v/>
      </c>
      <c r="G24">
        <f>IF(ISBLANK('By Round'!G16),"",'By Round'!G16)</f>
        <v/>
      </c>
      <c r="H24">
        <f>IF(ISBLANK('By Round'!H16),"",'By Round'!H16)</f>
        <v/>
      </c>
      <c r="I24">
        <f>IF(ISBLANK('By Round'!I16),"",'By Round'!I16)</f>
        <v/>
      </c>
      <c r="J24">
        <f>IF(ISBLANK('By Round'!J16),"",'By Round'!J16)</f>
        <v/>
      </c>
      <c r="K24">
        <f>IF(ISBLANK('By Round'!K16),"",'By Round'!K16)</f>
        <v/>
      </c>
      <c r="L24">
        <f>IF(ISBLANK('By Round'!L16),"",'By Round'!L16)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IF(ISNUMBER(S24),IF(ISNUMBER(S25),IF(S24&gt;S25,1.0,IF(S24=S25,0.5,0.0)),0.5),0.5)</f>
        <v/>
      </c>
      <c r="V24">
        <f>IF(ISNUMBER(S24),IF(ISNUMBER(S26),IF(S24&gt;S26,1.0,IF(S24=S26,0.5,0.0)),0.5),0.5)</f>
        <v/>
      </c>
      <c r="W24">
        <f>IF(ISNUMBER(T24),IF(ISNUMBER(T25),IF(T24&gt;T25,1.0,IF(T24=T25,0.5,0.0)),0.5),0.5)</f>
        <v/>
      </c>
      <c r="X24">
        <f>IF(ISNUMBER(T24),IF(ISNUMBER(T26),IF(T24&gt;T26,1.0,IF(T24=T26,0.5,0.0)),0.5),0.5)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Round'!A21</f>
        <v/>
      </c>
      <c r="C25" s="10">
        <f>'By Round'!B24</f>
        <v/>
      </c>
      <c r="D25" s="10">
        <f>'By Round'!C24</f>
        <v/>
      </c>
      <c r="E25" s="10">
        <f>'By Round'!D24</f>
        <v/>
      </c>
      <c r="F25" s="10">
        <f>IF(ISBLANK('By Round'!F25),"",'By Round'!F25)</f>
        <v/>
      </c>
      <c r="G25">
        <f>IF(ISBLANK('By Round'!G25),"",'By Round'!G25)</f>
        <v/>
      </c>
      <c r="H25">
        <f>IF(ISBLANK('By Round'!H25),"",'By Round'!H25)</f>
        <v/>
      </c>
      <c r="I25">
        <f>IF(ISBLANK('By Round'!I25),"",'By Round'!I25)</f>
        <v/>
      </c>
      <c r="J25">
        <f>IF(ISBLANK('By Round'!J25),"",'By Round'!J25)</f>
        <v/>
      </c>
      <c r="K25">
        <f>IF(ISBLANK('By Round'!K25),"",'By Round'!K25)</f>
        <v/>
      </c>
      <c r="L25">
        <f>IF(ISBLANK('By Round'!L25),"",'By Round'!L25)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IF(ISNUMBER(S25),IF(ISNUMBER(S24),IF(S25&gt;S24,1.0,IF(S25=S24,0.5,0.0)),0.5),0.5)</f>
        <v/>
      </c>
      <c r="V25">
        <f>IF(ISNUMBER(S25),IF(ISNUMBER(S26),IF(S25&gt;S26,1.0,IF(S25=S26,0.5,0.0)),0.5),0.5)</f>
        <v/>
      </c>
      <c r="W25">
        <f>IF(ISNUMBER(T25),IF(ISNUMBER(T24),IF(T25&gt;T24,1.0,IF(T25=T24,0.5,0.0)),0.5),0.5)</f>
        <v/>
      </c>
      <c r="X25">
        <f>IF(ISNUMBER(T25),IF(ISNUMBER(T26),IF(T25&gt;T26,1.0,IF(T25=T26,0.5,0.0)),0.5),0.5)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Round'!A9</f>
        <v/>
      </c>
      <c r="C26" s="16">
        <f>'By Round'!B12</f>
        <v/>
      </c>
      <c r="D26" s="16">
        <f>'By Round'!C12</f>
        <v/>
      </c>
      <c r="E26" s="16">
        <f>'By Round'!D12</f>
        <v/>
      </c>
      <c r="F26" s="16">
        <f>IF(ISBLANK('By Round'!F13),"",'By Round'!F13)</f>
        <v/>
      </c>
      <c r="G26" s="15">
        <f>IF(ISBLANK('By Round'!G13),"",'By Round'!G13)</f>
        <v/>
      </c>
      <c r="H26" s="15">
        <f>IF(ISBLANK('By Round'!H13),"",'By Round'!H13)</f>
        <v/>
      </c>
      <c r="I26" s="15">
        <f>IF(ISBLANK('By Round'!I13),"",'By Round'!I13)</f>
        <v/>
      </c>
      <c r="J26" s="15">
        <f>IF(ISBLANK('By Round'!J13),"",'By Round'!J13)</f>
        <v/>
      </c>
      <c r="K26" s="15">
        <f>IF(ISBLANK('By Round'!K13),"",'By Round'!K13)</f>
        <v/>
      </c>
      <c r="L26" s="15">
        <f>IF(ISBLANK('By Round'!L13),"",'By Round'!L13)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IF(ISNUMBER(S26),IF(ISNUMBER(S24),IF(S26&gt;S24,1.0,IF(S26=S24,0.5,0.0)),0.5),0.5)</f>
        <v/>
      </c>
      <c r="V26" s="15">
        <f>IF(ISNUMBER(S26),IF(ISNUMBER(S25),IF(S26&gt;S25,1.0,IF(S26=S25,0.5,0.0)),0.5),0.5)</f>
        <v/>
      </c>
      <c r="W26" s="15">
        <f>IF(ISNUMBER(T26),IF(ISNUMBER(T24),IF(T26&gt;T24,1.0,IF(T26=T24,0.5,0.0)),0.5),0.5)</f>
        <v/>
      </c>
      <c r="X26" s="15">
        <f>IF(ISNUMBER(T26),IF(ISNUMBER(T25),IF(T26&gt;T25,1.0,IF(T26=T25,0.5,0.0)),0.5),0.5)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Round'!A15</f>
        <v/>
      </c>
      <c r="C27" s="10">
        <f>'By Round'!B15</f>
        <v/>
      </c>
      <c r="D27" s="10">
        <f>'By Round'!C15</f>
        <v/>
      </c>
      <c r="E27" s="10">
        <f>'By Round'!D15</f>
        <v/>
      </c>
      <c r="F27" s="10">
        <f>IF(ISBLANK('By Round'!F17),"",'By Round'!F17)</f>
        <v/>
      </c>
      <c r="G27">
        <f>IF(ISBLANK('By Round'!G17),"",'By Round'!G17)</f>
        <v/>
      </c>
      <c r="H27">
        <f>IF(ISBLANK('By Round'!H17),"",'By Round'!H17)</f>
        <v/>
      </c>
      <c r="I27">
        <f>IF(ISBLANK('By Round'!I17),"",'By Round'!I17)</f>
        <v/>
      </c>
      <c r="J27">
        <f>IF(ISBLANK('By Round'!J17),"",'By Round'!J17)</f>
        <v/>
      </c>
      <c r="K27">
        <f>IF(ISBLANK('By Round'!K17),"",'By Round'!K17)</f>
        <v/>
      </c>
      <c r="L27">
        <f>IF(ISBLANK('By Round'!L17),"",'By Round'!L17)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IF(ISNUMBER(T27),IF(ISNUMBER(T28),IF(T27&gt;T28,1.0,IF(T27=T28,0.5,0.0)),0.5),0.5)</f>
        <v/>
      </c>
      <c r="X27">
        <f>IF(ISNUMBER(T27),IF(ISNUMBER(T29),IF(T27&gt;T29,1.0,IF(T27=T29,0.5,0.0)),0.5),0.5)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Round'!A21</f>
        <v/>
      </c>
      <c r="C28" s="10">
        <f>'By Round'!B24</f>
        <v/>
      </c>
      <c r="D28" s="10">
        <f>'By Round'!C24</f>
        <v/>
      </c>
      <c r="E28" s="10">
        <f>'By Round'!D24</f>
        <v/>
      </c>
      <c r="F28" s="10">
        <f>IF(ISBLANK('By Round'!F26),"",'By Round'!F26)</f>
        <v/>
      </c>
      <c r="G28">
        <f>IF(ISBLANK('By Round'!G26),"",'By Round'!G26)</f>
        <v/>
      </c>
      <c r="H28">
        <f>IF(ISBLANK('By Round'!H26),"",'By Round'!H26)</f>
        <v/>
      </c>
      <c r="I28">
        <f>IF(ISBLANK('By Round'!I26),"",'By Round'!I26)</f>
        <v/>
      </c>
      <c r="J28">
        <f>IF(ISBLANK('By Round'!J26),"",'By Round'!J26)</f>
        <v/>
      </c>
      <c r="K28">
        <f>IF(ISBLANK('By Round'!K26),"",'By Round'!K26)</f>
        <v/>
      </c>
      <c r="L28">
        <f>IF(ISBLANK('By Round'!L26),"",'By Round'!L26)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IF(ISNUMBER(T28),IF(ISNUMBER(T27),IF(T28&gt;T27,1.0,IF(T28=T27,0.5,0.0)),0.5),0.5)</f>
        <v/>
      </c>
      <c r="X28">
        <f>IF(ISNUMBER(T28),IF(ISNUMBER(T29),IF(T28&gt;T29,1.0,IF(T28=T29,0.5,0.0)),0.5),0.5)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Round'!A9</f>
        <v/>
      </c>
      <c r="C29" s="16">
        <f>'By Round'!B12</f>
        <v/>
      </c>
      <c r="D29" s="16">
        <f>'By Round'!C12</f>
        <v/>
      </c>
      <c r="E29" s="16">
        <f>'By Round'!D12</f>
        <v/>
      </c>
      <c r="F29" s="16">
        <f>IF(ISBLANK('By Round'!F14),"",'By Round'!F14)</f>
        <v/>
      </c>
      <c r="G29" s="15">
        <f>IF(ISBLANK('By Round'!G14),"",'By Round'!G14)</f>
        <v/>
      </c>
      <c r="H29" s="15">
        <f>IF(ISBLANK('By Round'!H14),"",'By Round'!H14)</f>
        <v/>
      </c>
      <c r="I29" s="15">
        <f>IF(ISBLANK('By Round'!I14),"",'By Round'!I14)</f>
        <v/>
      </c>
      <c r="J29" s="15">
        <f>IF(ISBLANK('By Round'!J14),"",'By Round'!J14)</f>
        <v/>
      </c>
      <c r="K29" s="15">
        <f>IF(ISBLANK('By Round'!K14),"",'By Round'!K14)</f>
        <v/>
      </c>
      <c r="L29" s="15">
        <f>IF(ISBLANK('By Round'!L14),"",'By Round'!L14)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IF(ISNUMBER(S29),IF(ISNUMBER(S27),IF(S29&gt;S27,1.0,IF(S29=S27,0.5,0.0)),0.5),0.5)</f>
        <v/>
      </c>
      <c r="V29" s="15">
        <f>IF(ISNUMBER(S29),IF(ISNUMBER(S28),IF(S29&gt;S28,1.0,IF(S29=S28,0.5,0.0)),0.5),0.5)</f>
        <v/>
      </c>
      <c r="W29" s="15">
        <f>IF(ISNUMBER(T29),IF(ISNUMBER(T27),IF(T29&gt;T27,1.0,IF(T29=T27,0.5,0.0)),0.5),0.5)</f>
        <v/>
      </c>
      <c r="X29" s="15">
        <f>IF(ISNUMBER(T29),IF(ISNUMBER(T28),IF(T29&gt;T28,1.0,IF(T29=T28,0.5,0.0)),0.5),0.5)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Round'!A21</f>
        <v/>
      </c>
      <c r="C30" s="10">
        <f>'By Round'!B21</f>
        <v/>
      </c>
      <c r="D30" s="10">
        <f>'By Round'!C21</f>
        <v/>
      </c>
      <c r="E30" s="10">
        <f>'By Round'!D21</f>
        <v/>
      </c>
      <c r="F30" s="10">
        <f>IF(ISBLANK('By Round'!F21),"",'By Round'!F21)</f>
        <v/>
      </c>
      <c r="G30">
        <f>IF(ISBLANK('By Round'!G21),"",'By Round'!G21)</f>
        <v/>
      </c>
      <c r="H30">
        <f>IF(ISBLANK('By Round'!H21),"",'By Round'!H21)</f>
        <v/>
      </c>
      <c r="I30">
        <f>IF(ISBLANK('By Round'!I21),"",'By Round'!I21)</f>
        <v/>
      </c>
      <c r="J30">
        <f>IF(ISBLANK('By Round'!J21),"",'By Round'!J21)</f>
        <v/>
      </c>
      <c r="K30">
        <f>IF(ISBLANK('By Round'!K21),"",'By Round'!K21)</f>
        <v/>
      </c>
      <c r="L30">
        <f>IF(ISBLANK('By Round'!L21),"",'By Round'!L21)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IF(ISNUMBER(S30),IF(ISNUMBER(S31),IF(S30&gt;S31,1.0,IF(S30=S31,0.5,0.0)),0.5),0.5)</f>
        <v/>
      </c>
      <c r="V30">
        <f>IF(ISNUMBER(S30),IF(ISNUMBER(S32),IF(S30&gt;S32,1.0,IF(S30=S32,0.5,0.0)),0.5),0.5)</f>
        <v/>
      </c>
      <c r="W30">
        <f>IF(ISNUMBER(T30),IF(ISNUMBER(T31),IF(T30&gt;T31,1.0,IF(T30=T31,0.5,0.0)),0.5),0.5)</f>
        <v/>
      </c>
      <c r="X30">
        <f>IF(ISNUMBER(T30),IF(ISNUMBER(T32),IF(T30&gt;T32,1.0,IF(T30=T32,0.5,0.0)),0.5),0.5)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Round'!A9</f>
        <v/>
      </c>
      <c r="C31" s="10">
        <f>'By Round'!B15</f>
        <v/>
      </c>
      <c r="D31" s="10">
        <f>'By Round'!C15</f>
        <v/>
      </c>
      <c r="E31" s="10">
        <f>'By Round'!D15</f>
        <v/>
      </c>
      <c r="F31" s="10">
        <f>IF(ISBLANK('By Round'!F15),"",'By Round'!F15)</f>
        <v/>
      </c>
      <c r="G31">
        <f>IF(ISBLANK('By Round'!G15),"",'By Round'!G15)</f>
        <v/>
      </c>
      <c r="H31">
        <f>IF(ISBLANK('By Round'!H15),"",'By Round'!H15)</f>
        <v/>
      </c>
      <c r="I31">
        <f>IF(ISBLANK('By Round'!I15),"",'By Round'!I15)</f>
        <v/>
      </c>
      <c r="J31">
        <f>IF(ISBLANK('By Round'!J15),"",'By Round'!J15)</f>
        <v/>
      </c>
      <c r="K31">
        <f>IF(ISBLANK('By Round'!K15),"",'By Round'!K15)</f>
        <v/>
      </c>
      <c r="L31">
        <f>IF(ISBLANK('By Round'!L15),"",'By Round'!L15)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IF(ISNUMBER(S31),IF(ISNUMBER(S30),IF(S31&gt;S30,1.0,IF(S31=S30,0.5,0.0)),0.5),0.5)</f>
        <v/>
      </c>
      <c r="V31">
        <f>IF(ISNUMBER(S31),IF(ISNUMBER(S32),IF(S31&gt;S32,1.0,IF(S31=S32,0.5,0.0)),0.5),0.5)</f>
        <v/>
      </c>
      <c r="W31">
        <f>IF(ISNUMBER(T31),IF(ISNUMBER(T30),IF(T31&gt;T30,1.0,IF(T31=T30,0.5,0.0)),0.5),0.5)</f>
        <v/>
      </c>
      <c r="X31">
        <f>IF(ISNUMBER(T31),IF(ISNUMBER(T32),IF(T31&gt;T32,1.0,IF(T31=T32,0.5,0.0)),0.5),0.5)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</f>
        <v/>
      </c>
      <c r="C32" s="16">
        <f>'By Round'!B9</f>
        <v/>
      </c>
      <c r="D32" s="16">
        <f>'By Round'!C9</f>
        <v/>
      </c>
      <c r="E32" s="16">
        <f>'By Round'!D9</f>
        <v/>
      </c>
      <c r="F32" s="16">
        <f>IF(ISBLANK('By Round'!F9),"",'By Round'!F9)</f>
        <v/>
      </c>
      <c r="G32" s="15">
        <f>IF(ISBLANK('By Round'!G9),"",'By Round'!G9)</f>
        <v/>
      </c>
      <c r="H32" s="15">
        <f>IF(ISBLANK('By Round'!H9),"",'By Round'!H9)</f>
        <v/>
      </c>
      <c r="I32" s="15">
        <f>IF(ISBLANK('By Round'!I9),"",'By Round'!I9)</f>
        <v/>
      </c>
      <c r="J32" s="15">
        <f>IF(ISBLANK('By Round'!J9),"",'By Round'!J9)</f>
        <v/>
      </c>
      <c r="K32" s="15">
        <f>IF(ISBLANK('By Round'!K9),"",'By Round'!K9)</f>
        <v/>
      </c>
      <c r="L32" s="15">
        <f>IF(ISBLANK('By Round'!L9),"",'By Round'!L9)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IF(ISNUMBER(S32),IF(ISNUMBER(S30),IF(S32&gt;S30,1.0,IF(S32=S30,0.5,0.0)),0.5),0.5)</f>
        <v/>
      </c>
      <c r="V32" s="15">
        <f>IF(ISNUMBER(S32),IF(ISNUMBER(S31),IF(S32&gt;S31,1.0,IF(S32=S31,0.5,0.0)),0.5),0.5)</f>
        <v/>
      </c>
      <c r="W32" s="15">
        <f>IF(ISNUMBER(T32),IF(ISNUMBER(T30),IF(T32&gt;T30,1.0,IF(T32=T30,0.5,0.0)),0.5),0.5)</f>
        <v/>
      </c>
      <c r="X32" s="15">
        <f>IF(ISNUMBER(T32),IF(ISNUMBER(T31),IF(T32&gt;T31,1.0,IF(T32=T31,0.5,0.0)),0.5),0.5)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Round'!A21</f>
        <v/>
      </c>
      <c r="C33" s="10">
        <f>'By Round'!B21</f>
        <v/>
      </c>
      <c r="D33" s="10">
        <f>'By Round'!C21</f>
        <v/>
      </c>
      <c r="E33" s="10">
        <f>'By Round'!D21</f>
        <v/>
      </c>
      <c r="F33" s="10">
        <f>IF(ISBLANK('By Round'!F22),"",'By Round'!F22)</f>
        <v/>
      </c>
      <c r="G33">
        <f>IF(ISBLANK('By Round'!G22),"",'By Round'!G22)</f>
        <v/>
      </c>
      <c r="H33">
        <f>IF(ISBLANK('By Round'!H22),"",'By Round'!H22)</f>
        <v/>
      </c>
      <c r="I33">
        <f>IF(ISBLANK('By Round'!I22),"",'By Round'!I22)</f>
        <v/>
      </c>
      <c r="J33">
        <f>IF(ISBLANK('By Round'!J22),"",'By Round'!J22)</f>
        <v/>
      </c>
      <c r="K33">
        <f>IF(ISBLANK('By Round'!K22),"",'By Round'!K22)</f>
        <v/>
      </c>
      <c r="L33">
        <f>IF(ISBLANK('By Round'!L22),"",'By Round'!L22)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IF(ISNUMBER(T33),IF(ISNUMBER(T34),IF(T33&gt;T34,1.0,IF(T33=T34,0.5,0.0)),0.5),0.5)</f>
        <v/>
      </c>
      <c r="X33">
        <f>IF(ISNUMBER(T33),IF(ISNUMBER(T35),IF(T33&gt;T35,1.0,IF(T33=T35,0.5,0.0)),0.5),0.5)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Round'!A9</f>
        <v/>
      </c>
      <c r="C34" s="10">
        <f>'By Round'!B15</f>
        <v/>
      </c>
      <c r="D34" s="10">
        <f>'By Round'!C15</f>
        <v/>
      </c>
      <c r="E34" s="10">
        <f>'By Round'!D15</f>
        <v/>
      </c>
      <c r="F34" s="10">
        <f>IF(ISBLANK('By Round'!F16),"",'By Round'!F16)</f>
        <v/>
      </c>
      <c r="G34">
        <f>IF(ISBLANK('By Round'!G16),"",'By Round'!G16)</f>
        <v/>
      </c>
      <c r="H34">
        <f>IF(ISBLANK('By Round'!H16),"",'By Round'!H16)</f>
        <v/>
      </c>
      <c r="I34">
        <f>IF(ISBLANK('By Round'!I16),"",'By Round'!I16)</f>
        <v/>
      </c>
      <c r="J34">
        <f>IF(ISBLANK('By Round'!J16),"",'By Round'!J16)</f>
        <v/>
      </c>
      <c r="K34">
        <f>IF(ISBLANK('By Round'!K16),"",'By Round'!K16)</f>
        <v/>
      </c>
      <c r="L34">
        <f>IF(ISBLANK('By Round'!L16),"",'By Round'!L16)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IF(ISNUMBER(T34),IF(ISNUMBER(T33),IF(T34&gt;T33,1.0,IF(T34=T33,0.5,0.0)),0.5),0.5)</f>
        <v/>
      </c>
      <c r="X34">
        <f>IF(ISNUMBER(T34),IF(ISNUMBER(T35),IF(T34&gt;T35,1.0,IF(T34=T35,0.5,0.0)),0.5),0.5)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</f>
        <v/>
      </c>
      <c r="C35" s="16">
        <f>'By Round'!B9</f>
        <v/>
      </c>
      <c r="D35" s="16">
        <f>'By Round'!C9</f>
        <v/>
      </c>
      <c r="E35" s="16">
        <f>'By Round'!D9</f>
        <v/>
      </c>
      <c r="F35" s="16">
        <f>IF(ISBLANK('By Round'!F10),"",'By Round'!F10)</f>
        <v/>
      </c>
      <c r="G35" s="15">
        <f>IF(ISBLANK('By Round'!G10),"",'By Round'!G10)</f>
        <v/>
      </c>
      <c r="H35" s="15">
        <f>IF(ISBLANK('By Round'!H10),"",'By Round'!H10)</f>
        <v/>
      </c>
      <c r="I35" s="15">
        <f>IF(ISBLANK('By Round'!I10),"",'By Round'!I10)</f>
        <v/>
      </c>
      <c r="J35" s="15">
        <f>IF(ISBLANK('By Round'!J10),"",'By Round'!J10)</f>
        <v/>
      </c>
      <c r="K35" s="15">
        <f>IF(ISBLANK('By Round'!K10),"",'By Round'!K10)</f>
        <v/>
      </c>
      <c r="L35" s="15">
        <f>IF(ISBLANK('By Round'!L10),"",'By Round'!L10)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IF(ISNUMBER(S35),IF(ISNUMBER(S33),IF(S35&gt;S33,1.0,IF(S35=S33,0.5,0.0)),0.5),0.5)</f>
        <v/>
      </c>
      <c r="V35" s="15">
        <f>IF(ISNUMBER(S35),IF(ISNUMBER(S34),IF(S35&gt;S34,1.0,IF(S35=S34,0.5,0.0)),0.5),0.5)</f>
        <v/>
      </c>
      <c r="W35" s="15">
        <f>IF(ISNUMBER(T35),IF(ISNUMBER(T33),IF(T35&gt;T33,1.0,IF(T35=T33,0.5,0.0)),0.5),0.5)</f>
        <v/>
      </c>
      <c r="X35" s="15">
        <f>IF(ISNUMBER(T35),IF(ISNUMBER(T34),IF(T35&gt;T34,1.0,IF(T35=T34,0.5,0.0)),0.5),0.5)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Round'!A21</f>
        <v/>
      </c>
      <c r="C36" s="10">
        <f>'By Round'!B21</f>
        <v/>
      </c>
      <c r="D36" s="10">
        <f>'By Round'!C21</f>
        <v/>
      </c>
      <c r="E36" s="10">
        <f>'By Round'!D21</f>
        <v/>
      </c>
      <c r="F36" s="10">
        <f>IF(ISBLANK('By Round'!F23),"",'By Round'!F23)</f>
        <v/>
      </c>
      <c r="G36">
        <f>IF(ISBLANK('By Round'!G23),"",'By Round'!G23)</f>
        <v/>
      </c>
      <c r="H36">
        <f>IF(ISBLANK('By Round'!H23),"",'By Round'!H23)</f>
        <v/>
      </c>
      <c r="I36">
        <f>IF(ISBLANK('By Round'!I23),"",'By Round'!I23)</f>
        <v/>
      </c>
      <c r="J36">
        <f>IF(ISBLANK('By Round'!J23),"",'By Round'!J23)</f>
        <v/>
      </c>
      <c r="K36">
        <f>IF(ISBLANK('By Round'!K23),"",'By Round'!K23)</f>
        <v/>
      </c>
      <c r="L36">
        <f>IF(ISBLANK('By Round'!L23),"",'By Round'!L23)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IF(ISNUMBER(S36),IF(ISNUMBER(S37),IF(S36&gt;S37,1.0,IF(S36=S37,0.5,0.0)),0.5),0.5)</f>
        <v/>
      </c>
      <c r="V36">
        <f>IF(ISNUMBER(S36),IF(ISNUMBER(S38),IF(S36&gt;S38,1.0,IF(S36=S38,0.5,0.0)),0.5),0.5)</f>
        <v/>
      </c>
      <c r="W36">
        <f>IF(ISNUMBER(T36),IF(ISNUMBER(T37),IF(T36&gt;T37,1.0,IF(T36=T37,0.5,0.0)),0.5),0.5)</f>
        <v/>
      </c>
      <c r="X36">
        <f>IF(ISNUMBER(T36),IF(ISNUMBER(T38),IF(T36&gt;T38,1.0,IF(T36=T38,0.5,0.0)),0.5),0.5)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Round'!A9</f>
        <v/>
      </c>
      <c r="C37" s="10">
        <f>'By Round'!B15</f>
        <v/>
      </c>
      <c r="D37" s="10">
        <f>'By Round'!C15</f>
        <v/>
      </c>
      <c r="E37" s="10">
        <f>'By Round'!D15</f>
        <v/>
      </c>
      <c r="F37" s="10">
        <f>IF(ISBLANK('By Round'!F17),"",'By Round'!F17)</f>
        <v/>
      </c>
      <c r="G37">
        <f>IF(ISBLANK('By Round'!G17),"",'By Round'!G17)</f>
        <v/>
      </c>
      <c r="H37">
        <f>IF(ISBLANK('By Round'!H17),"",'By Round'!H17)</f>
        <v/>
      </c>
      <c r="I37">
        <f>IF(ISBLANK('By Round'!I17),"",'By Round'!I17)</f>
        <v/>
      </c>
      <c r="J37">
        <f>IF(ISBLANK('By Round'!J17),"",'By Round'!J17)</f>
        <v/>
      </c>
      <c r="K37">
        <f>IF(ISBLANK('By Round'!K17),"",'By Round'!K17)</f>
        <v/>
      </c>
      <c r="L37">
        <f>IF(ISBLANK('By Round'!L17),"",'By Round'!L17)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IF(ISNUMBER(S37),IF(ISNUMBER(S36),IF(S37&gt;S36,1.0,IF(S37=S36,0.5,0.0)),0.5),0.5)</f>
        <v/>
      </c>
      <c r="V37">
        <f>IF(ISNUMBER(S37),IF(ISNUMBER(S38),IF(S37&gt;S38,1.0,IF(S37=S38,0.5,0.0)),0.5),0.5)</f>
        <v/>
      </c>
      <c r="W37">
        <f>IF(ISNUMBER(T37),IF(ISNUMBER(T36),IF(T37&gt;T36,1.0,IF(T37=T36,0.5,0.0)),0.5),0.5)</f>
        <v/>
      </c>
      <c r="X37">
        <f>IF(ISNUMBER(T37),IF(ISNUMBER(T38),IF(T37&gt;T38,1.0,IF(T37=T38,0.5,0.0)),0.5),0.5)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Round'!F11),"",'By Round'!F11)</f>
        <v/>
      </c>
      <c r="G38" s="15">
        <f>IF(ISBLANK('By Round'!G11),"",'By Round'!G11)</f>
        <v/>
      </c>
      <c r="H38" s="15">
        <f>IF(ISBLANK('By Round'!H11),"",'By Round'!H11)</f>
        <v/>
      </c>
      <c r="I38" s="15">
        <f>IF(ISBLANK('By Round'!I11),"",'By Round'!I11)</f>
        <v/>
      </c>
      <c r="J38" s="15">
        <f>IF(ISBLANK('By Round'!J11),"",'By Round'!J11)</f>
        <v/>
      </c>
      <c r="K38" s="15">
        <f>IF(ISBLANK('By Round'!K11),"",'By Round'!K11)</f>
        <v/>
      </c>
      <c r="L38" s="15">
        <f>IF(ISBLANK('By Round'!L11),"",'By Round'!L11)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IF(ISNUMBER(S38),IF(ISNUMBER(S36),IF(S38&gt;S36,1.0,IF(S38=S36,0.5,0.0)),0.5),0.5)</f>
        <v/>
      </c>
      <c r="V38" s="15">
        <f>IF(ISNUMBER(S38),IF(ISNUMBER(S37),IF(S38&gt;S37,1.0,IF(S38=S37,0.5,0.0)),0.5),0.5)</f>
        <v/>
      </c>
      <c r="W38" s="15">
        <f>IF(ISNUMBER(T38),IF(ISNUMBER(T36),IF(T38&gt;T36,1.0,IF(T38=T36,0.5,0.0)),0.5),0.5)</f>
        <v/>
      </c>
      <c r="X38" s="15">
        <f>IF(ISNUMBER(T38),IF(ISNUMBER(T37),IF(T38&gt;T37,1.0,IF(T38=T37,0.5,0.0)),0.5),0.5)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Round'!A27</f>
        <v/>
      </c>
      <c r="C39" s="10">
        <f>'By Round'!B27</f>
        <v/>
      </c>
      <c r="D39" s="10">
        <f>'By Round'!C27</f>
        <v/>
      </c>
      <c r="E39" s="10">
        <f>'By Round'!D27</f>
        <v/>
      </c>
      <c r="F39" s="10">
        <f>IF(ISBLANK('By Round'!F27),"",'By Round'!F27)</f>
        <v/>
      </c>
      <c r="G39">
        <f>IF(ISBLANK('By Round'!G27),"",'By Round'!G27)</f>
        <v/>
      </c>
      <c r="H39">
        <f>IF(ISBLANK('By Round'!H27),"",'By Round'!H27)</f>
        <v/>
      </c>
      <c r="I39">
        <f>IF(ISBLANK('By Round'!I27),"",'By Round'!I27)</f>
        <v/>
      </c>
      <c r="J39">
        <f>IF(ISBLANK('By Round'!J27),"",'By Round'!J27)</f>
        <v/>
      </c>
      <c r="K39">
        <f>IF(ISBLANK('By Round'!K27),"",'By Round'!K27)</f>
        <v/>
      </c>
      <c r="L39">
        <f>IF(ISBLANK('By Round'!L27),"",'By Round'!L27)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IF(ISNUMBER(T39),IF(ISNUMBER(T40),IF(T39&gt;T40,1.0,IF(T39=T40,0.5,0.0)),0.5),0.5)</f>
        <v/>
      </c>
      <c r="X39">
        <f>IF(ISNUMBER(T39),IF(ISNUMBER(T41),IF(T39&gt;T41,1.0,IF(T39=T41,0.5,0.0)),0.5),0.5)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Round'!A27</f>
        <v/>
      </c>
      <c r="C40" s="10">
        <f>'By Round'!B30</f>
        <v/>
      </c>
      <c r="D40" s="10">
        <f>'By Round'!C30</f>
        <v/>
      </c>
      <c r="E40" s="10">
        <f>'By Round'!D30</f>
        <v/>
      </c>
      <c r="F40" s="10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IF(ISNUMBER(T40),IF(ISNUMBER(T39),IF(T40&gt;T39,1.0,IF(T40=T39,0.5,0.0)),0.5),0.5)</f>
        <v/>
      </c>
      <c r="X40">
        <f>IF(ISNUMBER(T40),IF(ISNUMBER(T41),IF(T40&gt;T41,1.0,IF(T40=T41,0.5,0.0)),0.5),0.5)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Round'!A27</f>
        <v/>
      </c>
      <c r="C41" s="16">
        <f>'By Round'!B33</f>
        <v/>
      </c>
      <c r="D41" s="16">
        <f>'By Round'!C33</f>
        <v/>
      </c>
      <c r="E41" s="16">
        <f>'By Round'!D33</f>
        <v/>
      </c>
      <c r="F41" s="16">
        <f>IF(ISBLANK('By Round'!F33),"",'By Round'!F33)</f>
        <v/>
      </c>
      <c r="G41" s="15">
        <f>IF(ISBLANK('By Round'!G33),"",'By Round'!G33)</f>
        <v/>
      </c>
      <c r="H41" s="15">
        <f>IF(ISBLANK('By Round'!H33),"",'By Round'!H33)</f>
        <v/>
      </c>
      <c r="I41" s="15">
        <f>IF(ISBLANK('By Round'!I33),"",'By Round'!I33)</f>
        <v/>
      </c>
      <c r="J41" s="15">
        <f>IF(ISBLANK('By Round'!J33),"",'By Round'!J33)</f>
        <v/>
      </c>
      <c r="K41" s="15">
        <f>IF(ISBLANK('By Round'!K33),"",'By Round'!K33)</f>
        <v/>
      </c>
      <c r="L41" s="15">
        <f>IF(ISBLANK('By Round'!L33),"",'By Round'!L33)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IF(ISNUMBER(S41),IF(ISNUMBER(S39),IF(S41&gt;S39,1.0,IF(S41=S39,0.5,0.0)),0.5),0.5)</f>
        <v/>
      </c>
      <c r="V41" s="15">
        <f>IF(ISNUMBER(S41),IF(ISNUMBER(S40),IF(S41&gt;S40,1.0,IF(S41=S40,0.5,0.0)),0.5),0.5)</f>
        <v/>
      </c>
      <c r="W41" s="15">
        <f>IF(ISNUMBER(T41),IF(ISNUMBER(T39),IF(T41&gt;T39,1.0,IF(T41=T39,0.5,0.0)),0.5),0.5)</f>
        <v/>
      </c>
      <c r="X41" s="15">
        <f>IF(ISNUMBER(T41),IF(ISNUMBER(T40),IF(T41&gt;T40,1.0,IF(T41=T40,0.5,0.0)),0.5),0.5)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Round'!A27</f>
        <v/>
      </c>
      <c r="C42" s="10">
        <f>'By Round'!B27</f>
        <v/>
      </c>
      <c r="D42" s="10">
        <f>'By Round'!C27</f>
        <v/>
      </c>
      <c r="E42" s="10">
        <f>'By Round'!D27</f>
        <v/>
      </c>
      <c r="F42" s="10">
        <f>IF(ISBLANK('By Round'!F28),"",'By Round'!F28)</f>
        <v/>
      </c>
      <c r="G42">
        <f>IF(ISBLANK('By Round'!G28),"",'By Round'!G28)</f>
        <v/>
      </c>
      <c r="H42">
        <f>IF(ISBLANK('By Round'!H28),"",'By Round'!H28)</f>
        <v/>
      </c>
      <c r="I42">
        <f>IF(ISBLANK('By Round'!I28),"",'By Round'!I28)</f>
        <v/>
      </c>
      <c r="J42">
        <f>IF(ISBLANK('By Round'!J28),"",'By Round'!J28)</f>
        <v/>
      </c>
      <c r="K42">
        <f>IF(ISBLANK('By Round'!K28),"",'By Round'!K28)</f>
        <v/>
      </c>
      <c r="L42">
        <f>IF(ISBLANK('By Round'!L28),"",'By Round'!L28)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IF(ISNUMBER(S42),IF(ISNUMBER(S43),IF(S42&gt;S43,1.0,IF(S42=S43,0.5,0.0)),0.5),0.5)</f>
        <v/>
      </c>
      <c r="V42">
        <f>IF(ISNUMBER(S42),IF(ISNUMBER(S44),IF(S42&gt;S44,1.0,IF(S42=S44,0.5,0.0)),0.5),0.5)</f>
        <v/>
      </c>
      <c r="W42">
        <f>IF(ISNUMBER(T42),IF(ISNUMBER(T43),IF(T42&gt;T43,1.0,IF(T42=T43,0.5,0.0)),0.5),0.5)</f>
        <v/>
      </c>
      <c r="X42">
        <f>IF(ISNUMBER(T42),IF(ISNUMBER(T44),IF(T42&gt;T44,1.0,IF(T42=T44,0.5,0.0)),0.5),0.5)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Round'!A27</f>
        <v/>
      </c>
      <c r="C43" s="10">
        <f>'By Round'!B30</f>
        <v/>
      </c>
      <c r="D43" s="10">
        <f>'By Round'!C30</f>
        <v/>
      </c>
      <c r="E43" s="10">
        <f>'By Round'!D30</f>
        <v/>
      </c>
      <c r="F43" s="10">
        <f>IF(ISBLANK('By Round'!F31),"",'By Round'!F31)</f>
        <v/>
      </c>
      <c r="G43">
        <f>IF(ISBLANK('By Round'!G31),"",'By Round'!G31)</f>
        <v/>
      </c>
      <c r="H43">
        <f>IF(ISBLANK('By Round'!H31),"",'By Round'!H31)</f>
        <v/>
      </c>
      <c r="I43">
        <f>IF(ISBLANK('By Round'!I31),"",'By Round'!I31)</f>
        <v/>
      </c>
      <c r="J43">
        <f>IF(ISBLANK('By Round'!J31),"",'By Round'!J31)</f>
        <v/>
      </c>
      <c r="K43">
        <f>IF(ISBLANK('By Round'!K31),"",'By Round'!K31)</f>
        <v/>
      </c>
      <c r="L43">
        <f>IF(ISBLANK('By Round'!L31),"",'By Round'!L31)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IF(ISNUMBER(S43),IF(ISNUMBER(S42),IF(S43&gt;S42,1.0,IF(S43=S42,0.5,0.0)),0.5),0.5)</f>
        <v/>
      </c>
      <c r="V43">
        <f>IF(ISNUMBER(S43),IF(ISNUMBER(S44),IF(S43&gt;S44,1.0,IF(S43=S44,0.5,0.0)),0.5),0.5)</f>
        <v/>
      </c>
      <c r="W43">
        <f>IF(ISNUMBER(T43),IF(ISNUMBER(T42),IF(T43&gt;T42,1.0,IF(T43=T42,0.5,0.0)),0.5),0.5)</f>
        <v/>
      </c>
      <c r="X43">
        <f>IF(ISNUMBER(T43),IF(ISNUMBER(T44),IF(T43&gt;T44,1.0,IF(T43=T44,0.5,0.0)),0.5),0.5)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Round'!A27</f>
        <v/>
      </c>
      <c r="C44" s="16">
        <f>'By Round'!B33</f>
        <v/>
      </c>
      <c r="D44" s="16">
        <f>'By Round'!C33</f>
        <v/>
      </c>
      <c r="E44" s="16">
        <f>'By Round'!D33</f>
        <v/>
      </c>
      <c r="F44" s="16">
        <f>IF(ISBLANK('By Round'!F34),"",'By Round'!F34)</f>
        <v/>
      </c>
      <c r="G44" s="15">
        <f>IF(ISBLANK('By Round'!G34),"",'By Round'!G34)</f>
        <v/>
      </c>
      <c r="H44" s="15">
        <f>IF(ISBLANK('By Round'!H34),"",'By Round'!H34)</f>
        <v/>
      </c>
      <c r="I44" s="15">
        <f>IF(ISBLANK('By Round'!I34),"",'By Round'!I34)</f>
        <v/>
      </c>
      <c r="J44" s="15">
        <f>IF(ISBLANK('By Round'!J34),"",'By Round'!J34)</f>
        <v/>
      </c>
      <c r="K44" s="15">
        <f>IF(ISBLANK('By Round'!K34),"",'By Round'!K34)</f>
        <v/>
      </c>
      <c r="L44" s="15">
        <f>IF(ISBLANK('By Round'!L34),"",'By Round'!L34)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IF(ISNUMBER(S44),IF(ISNUMBER(S42),IF(S44&gt;S42,1.0,IF(S44=S42,0.5,0.0)),0.5),0.5)</f>
        <v/>
      </c>
      <c r="V44" s="15">
        <f>IF(ISNUMBER(S44),IF(ISNUMBER(S43),IF(S44&gt;S43,1.0,IF(S44=S43,0.5,0.0)),0.5),0.5)</f>
        <v/>
      </c>
      <c r="W44" s="15">
        <f>IF(ISNUMBER(T44),IF(ISNUMBER(T42),IF(T44&gt;T42,1.0,IF(T44=T42,0.5,0.0)),0.5),0.5)</f>
        <v/>
      </c>
      <c r="X44" s="15">
        <f>IF(ISNUMBER(T44),IF(ISNUMBER(T43),IF(T44&gt;T43,1.0,IF(T44=T43,0.5,0.0)),0.5),0.5)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Round'!A27</f>
        <v/>
      </c>
      <c r="C45" s="10">
        <f>'By Round'!B27</f>
        <v/>
      </c>
      <c r="D45" s="10">
        <f>'By Round'!C27</f>
        <v/>
      </c>
      <c r="E45" s="10">
        <f>'By Round'!D27</f>
        <v/>
      </c>
      <c r="F45" s="10">
        <f>IF(ISBLANK('By Round'!F29),"",'By Round'!F29)</f>
        <v/>
      </c>
      <c r="G45">
        <f>IF(ISBLANK('By Round'!G29),"",'By Round'!G29)</f>
        <v/>
      </c>
      <c r="H45">
        <f>IF(ISBLANK('By Round'!H29),"",'By Round'!H29)</f>
        <v/>
      </c>
      <c r="I45">
        <f>IF(ISBLANK('By Round'!I29),"",'By Round'!I29)</f>
        <v/>
      </c>
      <c r="J45">
        <f>IF(ISBLANK('By Round'!J29),"",'By Round'!J29)</f>
        <v/>
      </c>
      <c r="K45">
        <f>IF(ISBLANK('By Round'!K29),"",'By Round'!K29)</f>
        <v/>
      </c>
      <c r="L45">
        <f>IF(ISBLANK('By Round'!L29),"",'By Round'!L29)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IF(ISNUMBER(S45),IF(ISNUMBER(S46),IF(S45&gt;S46,1.0,IF(S45=S46,0.5,0.0)),0.5),0.5)</f>
        <v/>
      </c>
      <c r="V45">
        <f>IF(ISNUMBER(S45),IF(ISNUMBER(S47),IF(S45&gt;S47,1.0,IF(S45=S47,0.5,0.0)),0.5),0.5)</f>
        <v/>
      </c>
      <c r="W45">
        <f>IF(ISNUMBER(T45),IF(ISNUMBER(T46),IF(T45&gt;T46,1.0,IF(T45=T46,0.5,0.0)),0.5),0.5)</f>
        <v/>
      </c>
      <c r="X45">
        <f>IF(ISNUMBER(T45),IF(ISNUMBER(T47),IF(T45&gt;T47,1.0,IF(T45=T47,0.5,0.0)),0.5),0.5)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Round'!A27</f>
        <v/>
      </c>
      <c r="C46" s="10">
        <f>'By Round'!B30</f>
        <v/>
      </c>
      <c r="D46" s="10">
        <f>'By Round'!C30</f>
        <v/>
      </c>
      <c r="E46" s="10">
        <f>'By Round'!D30</f>
        <v/>
      </c>
      <c r="F46" s="10">
        <f>IF(ISBLANK('By Round'!F32),"",'By Round'!F32)</f>
        <v/>
      </c>
      <c r="G46">
        <f>IF(ISBLANK('By Round'!G32),"",'By Round'!G32)</f>
        <v/>
      </c>
      <c r="H46">
        <f>IF(ISBLANK('By Round'!H32),"",'By Round'!H32)</f>
        <v/>
      </c>
      <c r="I46">
        <f>IF(ISBLANK('By Round'!I32),"",'By Round'!I32)</f>
        <v/>
      </c>
      <c r="J46">
        <f>IF(ISBLANK('By Round'!J32),"",'By Round'!J32)</f>
        <v/>
      </c>
      <c r="K46">
        <f>IF(ISBLANK('By Round'!K32),"",'By Round'!K32)</f>
        <v/>
      </c>
      <c r="L46">
        <f>IF(ISBLANK('By Round'!L32),"",'By Round'!L32)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IF(ISNUMBER(S46),IF(ISNUMBER(S45),IF(S46&gt;S45,1.0,IF(S46=S45,0.5,0.0)),0.5),0.5)</f>
        <v/>
      </c>
      <c r="V46">
        <f>IF(ISNUMBER(S46),IF(ISNUMBER(S47),IF(S46&gt;S47,1.0,IF(S46=S47,0.5,0.0)),0.5),0.5)</f>
        <v/>
      </c>
      <c r="W46">
        <f>IF(ISNUMBER(T46),IF(ISNUMBER(T45),IF(T46&gt;T45,1.0,IF(T46=T45,0.5,0.0)),0.5),0.5)</f>
        <v/>
      </c>
      <c r="X46">
        <f>IF(ISNUMBER(T46),IF(ISNUMBER(T47),IF(T46&gt;T47,1.0,IF(T46=T47,0.5,0.0)),0.5),0.5)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Round'!A27</f>
        <v/>
      </c>
      <c r="C47" s="16">
        <f>'By Round'!B33</f>
        <v/>
      </c>
      <c r="D47" s="16">
        <f>'By Round'!C33</f>
        <v/>
      </c>
      <c r="E47" s="16">
        <f>'By Round'!D33</f>
        <v/>
      </c>
      <c r="F47" s="16">
        <f>IF(ISBLANK('By Round'!F35),"",'By Round'!F35)</f>
        <v/>
      </c>
      <c r="G47" s="15">
        <f>IF(ISBLANK('By Round'!G35),"",'By Round'!G35)</f>
        <v/>
      </c>
      <c r="H47" s="15">
        <f>IF(ISBLANK('By Round'!H35),"",'By Round'!H35)</f>
        <v/>
      </c>
      <c r="I47" s="15">
        <f>IF(ISBLANK('By Round'!I35),"",'By Round'!I35)</f>
        <v/>
      </c>
      <c r="J47" s="15">
        <f>IF(ISBLANK('By Round'!J35),"",'By Round'!J35)</f>
        <v/>
      </c>
      <c r="K47" s="15">
        <f>IF(ISBLANK('By Round'!K35),"",'By Round'!K35)</f>
        <v/>
      </c>
      <c r="L47" s="15">
        <f>IF(ISBLANK('By Round'!L35),"",'By Round'!L35)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IF(ISNUMBER(S47),IF(ISNUMBER(S45),IF(S47&gt;S45,1.0,IF(S47=S45,0.5,0.0)),0.5),0.5)</f>
        <v/>
      </c>
      <c r="V47" s="15">
        <f>IF(ISNUMBER(S47),IF(ISNUMBER(S46),IF(S47&gt;S46,1.0,IF(S47=S46,0.5,0.0)),0.5),0.5)</f>
        <v/>
      </c>
      <c r="W47" s="15">
        <f>IF(ISNUMBER(T47),IF(ISNUMBER(T45),IF(T47&gt;T45,1.0,IF(T47=T45,0.5,0.0)),0.5),0.5)</f>
        <v/>
      </c>
      <c r="X47" s="15">
        <f>IF(ISNUMBER(T47),IF(ISNUMBER(T46),IF(T47&gt;T46,1.0,IF(T47=T46,0.5,0.0)),0.5),0.5)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inlineStr">
        <is>
          <t>Sit-Out</t>
        </is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inlineStr">
        <is>
          <t>Sit-Out</t>
        </is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inlineStr">
        <is>
          <t>Sit-Out</t>
        </is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inlineStr">
        <is>
          <t>Sit-Out</t>
        </is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N3-100</f>
        <v/>
      </c>
      <c r="O4">
        <f>O3-300</f>
        <v/>
      </c>
      <c r="P4">
        <f>O4*2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N4-100</f>
        <v/>
      </c>
      <c r="O5">
        <f>O4-300</f>
        <v/>
      </c>
      <c r="P5">
        <f>O5*2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N5-100</f>
        <v/>
      </c>
      <c r="O6">
        <f>O5-300</f>
        <v/>
      </c>
      <c r="P6">
        <f>O6*2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N6-100</f>
        <v/>
      </c>
      <c r="O7">
        <f>O6-300</f>
        <v/>
      </c>
      <c r="P7">
        <f>O7*2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N7-100</f>
        <v/>
      </c>
      <c r="O8">
        <f>O7-300</f>
        <v/>
      </c>
      <c r="P8">
        <f>O8*2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N8-100</f>
        <v/>
      </c>
      <c r="O9">
        <f>O8-300</f>
        <v/>
      </c>
      <c r="P9">
        <f>O9*2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N9-100</f>
        <v/>
      </c>
      <c r="O10">
        <f>O9-300</f>
        <v/>
      </c>
      <c r="P10">
        <f>O10*2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N10-100</f>
        <v/>
      </c>
      <c r="O11">
        <f>O10-300</f>
        <v/>
      </c>
      <c r="P11">
        <f>O11*2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N11-100</f>
        <v/>
      </c>
      <c r="O12">
        <f>O11-300</f>
        <v/>
      </c>
      <c r="P12">
        <f>O12*2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N12-100</f>
        <v/>
      </c>
      <c r="O13">
        <f>O12-300</f>
        <v/>
      </c>
      <c r="P13">
        <f>O13*2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N13-100</f>
        <v/>
      </c>
      <c r="O14">
        <f>O13-300</f>
        <v/>
      </c>
      <c r="P14">
        <f>O14*2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N14-100</f>
        <v/>
      </c>
      <c r="O15">
        <f>O14-300</f>
        <v/>
      </c>
      <c r="P15">
        <f>O15*2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2026-08-05T15:49:42Z</dcterms:created>
  <dcterms:modified xsi:type="dcterms:W3CDTF">2026-08-05T15:49:42Z</dcterms:modified>
</cp:coreProperties>
</file>