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3" pivotButton="0" quotePrefix="0" xfId="0"/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Sep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43</t>
        </is>
      </c>
      <c r="C10" t="inlineStr">
        <is>
          <t>Name 17</t>
        </is>
      </c>
      <c r="D10" s="4">
        <f>SUMIF('By Board'!D3:D47,"="&amp;A10,'By Board'!Q3:Q47)/12+SUMIF('By Board'!E3:E47,"="&amp;A10,'By Board'!R3:R47)/12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83</t>
        </is>
      </c>
      <c r="C11" t="inlineStr">
        <is>
          <t>Name 83</t>
        </is>
      </c>
      <c r="D11" s="4">
        <f>SUMIF('By Board'!D3:D47,"="&amp;A11,'By Board'!Q3:Q47)/12+SUMIF('By Board'!E3:E47,"="&amp;A11,'By Board'!R3:R47)/12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71</t>
        </is>
      </c>
      <c r="C12" t="inlineStr">
        <is>
          <t>Name 72</t>
        </is>
      </c>
      <c r="D12" s="4">
        <f>SUMIF('By Board'!D3:D47,"="&amp;A12,'By Board'!Q3:Q47)/12+SUMIF('By Board'!E3:E47,"="&amp;A12,'By Board'!R3:R47)/12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76</t>
        </is>
      </c>
      <c r="C13" t="inlineStr">
        <is>
          <t>Name 18</t>
        </is>
      </c>
      <c r="D13" s="4">
        <f>SUMIF('By Board'!D3:D47,"="&amp;A13,'By Board'!Q3:Q47)/12+SUMIF('By Board'!E3:E47,"="&amp;A13,'By Board'!R3:R47)/12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70</t>
        </is>
      </c>
      <c r="C14" t="inlineStr">
        <is>
          <t>Name 85</t>
        </is>
      </c>
      <c r="D14" s="4">
        <f>SUMIF('By Board'!D3:D47,"="&amp;A14,'By Board'!Q3:Q47)/12+SUMIF('By Board'!E3:E47,"="&amp;A14,'By Board'!R3:R47)/12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IF(ISBLANK('By Round'!M3),"",'By Round'!M3)</f>
        <v/>
      </c>
      <c r="N3">
        <f>IF(ISBLANK('By Round'!N3),"",'By Round'!N3)</f>
        <v/>
      </c>
      <c r="O3">
        <f>IF(ISBLANK('By Round'!O3),"",'By Round'!O3)</f>
        <v/>
      </c>
      <c r="P3">
        <f>IF(ISBLANK('By Round'!P3),"",'By Round'!P3)</f>
        <v/>
      </c>
      <c r="Q3">
        <f>IF(ISBLANK('By Round'!Q3),"",'By Round'!Q3)</f>
        <v/>
      </c>
      <c r="R3">
        <f>IF(ISBLANK('By Round'!R3),"",'By Round'!R3)</f>
        <v/>
      </c>
      <c r="S3" s="11">
        <f>IF(ISBLANK('By Round'!S3),"",'By Round'!S3)</f>
        <v/>
      </c>
      <c r="T3">
        <f>IF(ISBLANK('By Round'!T3),"",'By Round'!T3)</f>
        <v/>
      </c>
      <c r="U3" s="11">
        <f>IF(ISBLANK('By Round'!U3),"",'By Round'!U3)</f>
        <v/>
      </c>
      <c r="V3">
        <f>IF(ISBLANK('By Round'!V3),"",'By Round'!V3)</f>
        <v/>
      </c>
      <c r="W3" s="11">
        <f>IF(ISBLANK('By Round'!W3),"",'By Round'!W3)</f>
        <v/>
      </c>
      <c r="X3">
        <f>IF(ISBLANK('By Round'!X3),"",'By Round'!X3)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2">
        <f>AVERAGE(W4:W4)</f>
        <v/>
      </c>
      <c r="N4" s="13">
        <f>AVERAGE(X4:X4)</f>
        <v/>
      </c>
      <c r="O4" s="14">
        <f>IF(COUNT(U4:U4)&gt;0,Q4/COUNT(U4:U4),0.5)</f>
        <v/>
      </c>
      <c r="P4" s="14">
        <f>IF(COUNT(V4:V4)&gt;0,R4/COUNT(V4:V4),0.5)</f>
        <v/>
      </c>
      <c r="Q4" s="5">
        <f>SUM(U4:U4)</f>
        <v/>
      </c>
      <c r="R4" s="5">
        <f>SUM(V4:V4)</f>
        <v/>
      </c>
      <c r="S4" s="11">
        <f>IF(ISNUMBER(K4),K4,IF(ISNUMBER(L4),-L4,""))</f>
        <v/>
      </c>
      <c r="T4">
        <f>IF(ISNUMBER(L4),L4,IF(ISNUMBER(K4),-K4,""))</f>
        <v/>
      </c>
      <c r="U4" s="11">
        <f>IF(ISNUMBER(S4),IF(ISNUMBER(S5),IF(S4&gt;S5,1.0,IF(S4=S5,0.5,0.0)),0.5),0.5)</f>
        <v/>
      </c>
      <c r="V4">
        <f>IF(ISNUMBER(T4),IF(ISNUMBER(T5),IF(T4&gt;T5,1.0,IF(T4=T5,0.5,0.0)),0.5),0.5)</f>
        <v/>
      </c>
      <c r="W4" s="11">
        <f>IF(AND(ISNUMBER(S4),ISNUMBER(S5)),VLOOKUP(ABS(S4-S5),'IMP Table'!$A$2:$C$26,3)*SIGN(S4-S5),0)</f>
        <v/>
      </c>
      <c r="X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AVERAGE(W5:W5)</f>
        <v/>
      </c>
      <c r="N5" s="18">
        <f>AVERAGE(X5:X5)</f>
        <v/>
      </c>
      <c r="O5" s="19">
        <f>IF(COUNT(U5:U5)&gt;0,Q5/COUNT(U5:U5),0.5)</f>
        <v/>
      </c>
      <c r="P5" s="19">
        <f>IF(COUNT(V5:V5)&gt;0,R5/COUNT(V5:V5),0.5)</f>
        <v/>
      </c>
      <c r="Q5" s="20">
        <f>SUM(U5:U5)</f>
        <v/>
      </c>
      <c r="R5" s="20">
        <f>SUM(V5:V5)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IF(ISNUMBER(S5),IF(ISNUMBER(S4),IF(S5&gt;S4,1.0,IF(S5=S4,0.5,0.0)),0.5),0.5)</f>
        <v/>
      </c>
      <c r="V5" s="15">
        <f>IF(ISNUMBER(T5),IF(ISNUMBER(T4),IF(T5&gt;T4,1.0,IF(T5=T4,0.5,0.0)),0.5),0.5)</f>
        <v/>
      </c>
      <c r="W5" s="21">
        <f>IF(AND(ISNUMBER(S5),ISNUMBER(S4)),VLOOKUP(ABS(S5-S4),'IMP Table'!$A$2:$C$26,3)*SIGN(S5-S4),0)</f>
        <v/>
      </c>
      <c r="X5" s="15">
        <f>IF(AND(ISNUMBER(T5),ISNUMBER(T4)),VLOOKUP(ABS(T5-T4),'IMP Table'!$A$2:$C$26,3)*SIGN(T5-T4),0)</f>
        <v/>
      </c>
      <c r="Y5" s="15" t="n"/>
      <c r="Z5" s="15" t="n"/>
      <c r="AA5" s="15" t="n"/>
      <c r="AB5" s="15" t="n"/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IF(ISBLANK('By Round'!M4),"",'By Round'!M4)</f>
        <v/>
      </c>
      <c r="N6">
        <f>IF(ISBLANK('By Round'!N4),"",'By Round'!N4)</f>
        <v/>
      </c>
      <c r="O6">
        <f>IF(ISBLANK('By Round'!O4),"",'By Round'!O4)</f>
        <v/>
      </c>
      <c r="P6">
        <f>IF(ISBLANK('By Round'!P4),"",'By Round'!P4)</f>
        <v/>
      </c>
      <c r="Q6">
        <f>IF(ISBLANK('By Round'!Q4),"",'By Round'!Q4)</f>
        <v/>
      </c>
      <c r="R6">
        <f>IF(ISBLANK('By Round'!R4),"",'By Round'!R4)</f>
        <v/>
      </c>
      <c r="S6" s="11">
        <f>IF(ISBLANK('By Round'!S4),"",'By Round'!S4)</f>
        <v/>
      </c>
      <c r="T6">
        <f>IF(ISBLANK('By Round'!T4),"",'By Round'!T4)</f>
        <v/>
      </c>
      <c r="U6" s="11">
        <f>IF(ISBLANK('By Round'!U4),"",'By Round'!U4)</f>
        <v/>
      </c>
      <c r="V6">
        <f>IF(ISBLANK('By Round'!V4),"",'By Round'!V4)</f>
        <v/>
      </c>
      <c r="W6" s="11">
        <f>IF(ISBLANK('By Round'!W4),"",'By Round'!W4)</f>
        <v/>
      </c>
      <c r="X6">
        <f>IF(ISBLANK('By Round'!X4),"",'By Round'!X4)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2">
        <f>AVERAGE(W7:W7)</f>
        <v/>
      </c>
      <c r="N7" s="13">
        <f>AVERAGE(X7:X7)</f>
        <v/>
      </c>
      <c r="O7" s="14">
        <f>IF(COUNT(U7:U7)&gt;0,Q7/COUNT(U7:U7),0.5)</f>
        <v/>
      </c>
      <c r="P7" s="14">
        <f>IF(COUNT(V7:V7)&gt;0,R7/COUNT(V7:V7),0.5)</f>
        <v/>
      </c>
      <c r="Q7" s="5">
        <f>SUM(U7:U7)</f>
        <v/>
      </c>
      <c r="R7" s="5">
        <f>SUM(V7:V7)</f>
        <v/>
      </c>
      <c r="S7" s="11">
        <f>IF(ISNUMBER(K7),K7,IF(ISNUMBER(L7),-L7,""))</f>
        <v/>
      </c>
      <c r="T7">
        <f>IF(ISNUMBER(L7),L7,IF(ISNUMBER(K7),-K7,""))</f>
        <v/>
      </c>
      <c r="U7" s="11">
        <f>IF(ISNUMBER(S7),IF(ISNUMBER(S8),IF(S7&gt;S8,1.0,IF(S7=S8,0.5,0.0)),0.5),0.5)</f>
        <v/>
      </c>
      <c r="V7">
        <f>IF(ISNUMBER(T7),IF(ISNUMBER(T8),IF(T7&gt;T8,1.0,IF(T7=T8,0.5,0.0)),0.5),0.5)</f>
        <v/>
      </c>
      <c r="W7" s="11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  <c r="Y8" s="15" t="n"/>
      <c r="Z8" s="15" t="n"/>
      <c r="AA8" s="15" t="n"/>
      <c r="AB8" s="15" t="n"/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IF(ISBLANK('By Round'!M5),"",'By Round'!M5)</f>
        <v/>
      </c>
      <c r="N9">
        <f>IF(ISBLANK('By Round'!N5),"",'By Round'!N5)</f>
        <v/>
      </c>
      <c r="O9">
        <f>IF(ISBLANK('By Round'!O5),"",'By Round'!O5)</f>
        <v/>
      </c>
      <c r="P9">
        <f>IF(ISBLANK('By Round'!P5),"",'By Round'!P5)</f>
        <v/>
      </c>
      <c r="Q9">
        <f>IF(ISBLANK('By Round'!Q5),"",'By Round'!Q5)</f>
        <v/>
      </c>
      <c r="R9">
        <f>IF(ISBLANK('By Round'!R5),"",'By Round'!R5)</f>
        <v/>
      </c>
      <c r="S9" s="11">
        <f>IF(ISBLANK('By Round'!S5),"",'By Round'!S5)</f>
        <v/>
      </c>
      <c r="T9">
        <f>IF(ISBLANK('By Round'!T5),"",'By Round'!T5)</f>
        <v/>
      </c>
      <c r="U9" s="11">
        <f>IF(ISBLANK('By Round'!U5),"",'By Round'!U5)</f>
        <v/>
      </c>
      <c r="V9">
        <f>IF(ISBLANK('By Round'!V5),"",'By Round'!V5)</f>
        <v/>
      </c>
      <c r="W9" s="11">
        <f>IF(ISBLANK('By Round'!W5),"",'By Round'!W5)</f>
        <v/>
      </c>
      <c r="X9">
        <f>IF(ISBLANK('By Round'!X5),"",'By Round'!X5)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2">
        <f>AVERAGE(W10:W10)</f>
        <v/>
      </c>
      <c r="N10" s="13">
        <f>AVERAGE(X10:X10)</f>
        <v/>
      </c>
      <c r="O10" s="14">
        <f>IF(COUNT(U10:U10)&gt;0,Q10/COUNT(U10:U10),0.5)</f>
        <v/>
      </c>
      <c r="P10" s="14">
        <f>IF(COUNT(V10:V10)&gt;0,R10/COUNT(V10:V10),0.5)</f>
        <v/>
      </c>
      <c r="Q10" s="5">
        <f>SUM(U10:U10)</f>
        <v/>
      </c>
      <c r="R10" s="5">
        <f>SUM(V10:V10)</f>
        <v/>
      </c>
      <c r="S10" s="11">
        <f>IF(ISNUMBER(K10),K10,IF(ISNUMBER(L10),-L10,""))</f>
        <v/>
      </c>
      <c r="T10">
        <f>IF(ISNUMBER(L10),L10,IF(ISNUMBER(K10),-K10,""))</f>
        <v/>
      </c>
      <c r="U10" s="11">
        <f>IF(ISNUMBER(S10),IF(ISNUMBER(S11),IF(S10&gt;S11,1.0,IF(S10=S11,0.5,0.0)),0.5),0.5)</f>
        <v/>
      </c>
      <c r="V10">
        <f>IF(ISNUMBER(T10),IF(ISNUMBER(T11),IF(T10&gt;T11,1.0,IF(T10=T11,0.5,0.0)),0.5),0.5)</f>
        <v/>
      </c>
      <c r="W10" s="11">
        <f>IF(AND(ISNUMBER(S10),ISNUMBER(S11)),VLOOKUP(ABS(S10-S11),'IMP Table'!$A$2:$C$26,3)*SIGN(S10-S11),0)</f>
        <v/>
      </c>
      <c r="X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AVERAGE(W11:W11)</f>
        <v/>
      </c>
      <c r="N11" s="18">
        <f>AVERAGE(X11:X11)</f>
        <v/>
      </c>
      <c r="O11" s="19">
        <f>IF(COUNT(U11:U11)&gt;0,Q11/COUNT(U11:U11),0.5)</f>
        <v/>
      </c>
      <c r="P11" s="19">
        <f>IF(COUNT(V11:V11)&gt;0,R11/COUNT(V11:V11),0.5)</f>
        <v/>
      </c>
      <c r="Q11" s="20">
        <f>SUM(U11:U11)</f>
        <v/>
      </c>
      <c r="R11" s="20">
        <f>SUM(V11:V11)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IF(ISNUMBER(S11),IF(ISNUMBER(S10),IF(S11&gt;S10,1.0,IF(S11=S10,0.5,0.0)),0.5),0.5)</f>
        <v/>
      </c>
      <c r="V11" s="15">
        <f>IF(ISNUMBER(T11),IF(ISNUMBER(T10),IF(T11&gt;T10,1.0,IF(T11=T10,0.5,0.0)),0.5),0.5)</f>
        <v/>
      </c>
      <c r="W11" s="21">
        <f>IF(AND(ISNUMBER(S11),ISNUMBER(S10)),VLOOKUP(ABS(S11-S10),'IMP Table'!$A$2:$C$26,3)*SIGN(S11-S10),0)</f>
        <v/>
      </c>
      <c r="X11" s="15">
        <f>IF(AND(ISNUMBER(T11),ISNUMBER(T10)),VLOOKUP(ABS(T11-T10),'IMP Table'!$A$2:$C$26,3)*SIGN(T11-T10),0)</f>
        <v/>
      </c>
      <c r="Y11" s="15" t="n"/>
      <c r="Z11" s="15" t="n"/>
      <c r="AA11" s="15" t="n"/>
      <c r="AB11" s="15" t="n"/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IF(ISBLANK('By Round'!M12),"",'By Round'!M12)</f>
        <v/>
      </c>
      <c r="N12">
        <f>IF(ISBLANK('By Round'!N12),"",'By Round'!N12)</f>
        <v/>
      </c>
      <c r="O12">
        <f>IF(ISBLANK('By Round'!O12),"",'By Round'!O12)</f>
        <v/>
      </c>
      <c r="P12">
        <f>IF(ISBLANK('By Round'!P12),"",'By Round'!P12)</f>
        <v/>
      </c>
      <c r="Q12">
        <f>IF(ISBLANK('By Round'!Q12),"",'By Round'!Q12)</f>
        <v/>
      </c>
      <c r="R12">
        <f>IF(ISBLANK('By Round'!R12),"",'By Round'!R12)</f>
        <v/>
      </c>
      <c r="S12" s="11">
        <f>IF(ISBLANK('By Round'!S12),"",'By Round'!S12)</f>
        <v/>
      </c>
      <c r="T12">
        <f>IF(ISBLANK('By Round'!T12),"",'By Round'!T12)</f>
        <v/>
      </c>
      <c r="U12" s="11">
        <f>IF(ISBLANK('By Round'!U12),"",'By Round'!U12)</f>
        <v/>
      </c>
      <c r="V12">
        <f>IF(ISBLANK('By Round'!V12),"",'By Round'!V12)</f>
        <v/>
      </c>
      <c r="W12" s="11">
        <f>IF(ISBLANK('By Round'!W12),"",'By Round'!W12)</f>
        <v/>
      </c>
      <c r="X12">
        <f>IF(ISBLANK('By Round'!X12),"",'By Round'!X12)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2">
        <f>AVERAGE(W13:W13)</f>
        <v/>
      </c>
      <c r="N13" s="13">
        <f>AVERAGE(X13:X13)</f>
        <v/>
      </c>
      <c r="O13" s="14">
        <f>IF(COUNT(U13:U13)&gt;0,Q13/COUNT(U13:U13),0.5)</f>
        <v/>
      </c>
      <c r="P13" s="14">
        <f>IF(COUNT(V13:V13)&gt;0,R13/COUNT(V13:V13),0.5)</f>
        <v/>
      </c>
      <c r="Q13" s="5">
        <f>SUM(U13:U13)</f>
        <v/>
      </c>
      <c r="R13" s="5">
        <f>SUM(V13:V13)</f>
        <v/>
      </c>
      <c r="S13" s="11">
        <f>IF(ISNUMBER(K13),K13,IF(ISNUMBER(L13),-L13,""))</f>
        <v/>
      </c>
      <c r="T13">
        <f>IF(ISNUMBER(L13),L13,IF(ISNUMBER(K13),-K13,""))</f>
        <v/>
      </c>
      <c r="U13" s="11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1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  <c r="Y14" s="15" t="n"/>
      <c r="Z14" s="15" t="n"/>
      <c r="AA14" s="15" t="n"/>
      <c r="AB14" s="15" t="n"/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IF(ISBLANK('By Round'!M13),"",'By Round'!M13)</f>
        <v/>
      </c>
      <c r="N15">
        <f>IF(ISBLANK('By Round'!N13),"",'By Round'!N13)</f>
        <v/>
      </c>
      <c r="O15">
        <f>IF(ISBLANK('By Round'!O13),"",'By Round'!O13)</f>
        <v/>
      </c>
      <c r="P15">
        <f>IF(ISBLANK('By Round'!P13),"",'By Round'!P13)</f>
        <v/>
      </c>
      <c r="Q15">
        <f>IF(ISBLANK('By Round'!Q13),"",'By Round'!Q13)</f>
        <v/>
      </c>
      <c r="R15">
        <f>IF(ISBLANK('By Round'!R13),"",'By Round'!R13)</f>
        <v/>
      </c>
      <c r="S15" s="11">
        <f>IF(ISBLANK('By Round'!S13),"",'By Round'!S13)</f>
        <v/>
      </c>
      <c r="T15">
        <f>IF(ISBLANK('By Round'!T13),"",'By Round'!T13)</f>
        <v/>
      </c>
      <c r="U15" s="11">
        <f>IF(ISBLANK('By Round'!U13),"",'By Round'!U13)</f>
        <v/>
      </c>
      <c r="V15">
        <f>IF(ISBLANK('By Round'!V13),"",'By Round'!V13)</f>
        <v/>
      </c>
      <c r="W15" s="11">
        <f>IF(ISBLANK('By Round'!W13),"",'By Round'!W13)</f>
        <v/>
      </c>
      <c r="X15">
        <f>IF(ISBLANK('By Round'!X13),"",'By Round'!X13)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2">
        <f>AVERAGE(W16:W16)</f>
        <v/>
      </c>
      <c r="N16" s="13">
        <f>AVERAGE(X16:X16)</f>
        <v/>
      </c>
      <c r="O16" s="14">
        <f>IF(COUNT(U16:U16)&gt;0,Q16/COUNT(U16:U16),0.5)</f>
        <v/>
      </c>
      <c r="P16" s="14">
        <f>IF(COUNT(V16:V16)&gt;0,R16/COUNT(V16:V16),0.5)</f>
        <v/>
      </c>
      <c r="Q16" s="5">
        <f>SUM(U16:U16)</f>
        <v/>
      </c>
      <c r="R16" s="5">
        <f>SUM(V16:V16)</f>
        <v/>
      </c>
      <c r="S16" s="11">
        <f>IF(ISNUMBER(K16),K16,IF(ISNUMBER(L16),-L16,""))</f>
        <v/>
      </c>
      <c r="T16">
        <f>IF(ISNUMBER(L16),L16,IF(ISNUMBER(K16),-K16,""))</f>
        <v/>
      </c>
      <c r="U16" s="11">
        <f>IF(ISNUMBER(S16),IF(ISNUMBER(S17),IF(S16&gt;S17,1.0,IF(S16=S17,0.5,0.0)),0.5),0.5)</f>
        <v/>
      </c>
      <c r="V16">
        <f>IF(ISNUMBER(T16),IF(ISNUMBER(T17),IF(T16&gt;T17,1.0,IF(T16=T17,0.5,0.0)),0.5),0.5)</f>
        <v/>
      </c>
      <c r="W16" s="11">
        <f>IF(AND(ISNUMBER(S16),ISNUMBER(S17)),VLOOKUP(ABS(S16-S17),'IMP Table'!$A$2:$C$26,3)*SIGN(S16-S17),0)</f>
        <v/>
      </c>
      <c r="X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AVERAGE(W17:W17)</f>
        <v/>
      </c>
      <c r="N17" s="18">
        <f>AVERAGE(X17:X17)</f>
        <v/>
      </c>
      <c r="O17" s="19">
        <f>IF(COUNT(U17:U17)&gt;0,Q17/COUNT(U17:U17),0.5)</f>
        <v/>
      </c>
      <c r="P17" s="19">
        <f>IF(COUNT(V17:V17)&gt;0,R17/COUNT(V17:V17),0.5)</f>
        <v/>
      </c>
      <c r="Q17" s="20">
        <f>SUM(U17:U17)</f>
        <v/>
      </c>
      <c r="R17" s="20">
        <f>SUM(V17:V17)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IF(ISNUMBER(S17),IF(ISNUMBER(S16),IF(S17&gt;S16,1.0,IF(S17=S16,0.5,0.0)),0.5),0.5)</f>
        <v/>
      </c>
      <c r="V17" s="15">
        <f>IF(ISNUMBER(T17),IF(ISNUMBER(T16),IF(T17&gt;T16,1.0,IF(T17=T16,0.5,0.0)),0.5),0.5)</f>
        <v/>
      </c>
      <c r="W17" s="21">
        <f>IF(AND(ISNUMBER(S17),ISNUMBER(S16)),VLOOKUP(ABS(S17-S16),'IMP Table'!$A$2:$C$26,3)*SIGN(S17-S16),0)</f>
        <v/>
      </c>
      <c r="X17" s="15">
        <f>IF(AND(ISNUMBER(T17),ISNUMBER(T16)),VLOOKUP(ABS(T17-T16),'IMP Table'!$A$2:$C$26,3)*SIGN(T17-T16),0)</f>
        <v/>
      </c>
      <c r="Y17" s="15" t="n"/>
      <c r="Z17" s="15" t="n"/>
      <c r="AA17" s="15" t="n"/>
      <c r="AB17" s="15" t="n"/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IF(ISBLANK('By Round'!M14),"",'By Round'!M14)</f>
        <v/>
      </c>
      <c r="N18">
        <f>IF(ISBLANK('By Round'!N14),"",'By Round'!N14)</f>
        <v/>
      </c>
      <c r="O18">
        <f>IF(ISBLANK('By Round'!O14),"",'By Round'!O14)</f>
        <v/>
      </c>
      <c r="P18">
        <f>IF(ISBLANK('By Round'!P14),"",'By Round'!P14)</f>
        <v/>
      </c>
      <c r="Q18">
        <f>IF(ISBLANK('By Round'!Q14),"",'By Round'!Q14)</f>
        <v/>
      </c>
      <c r="R18">
        <f>IF(ISBLANK('By Round'!R14),"",'By Round'!R14)</f>
        <v/>
      </c>
      <c r="S18" s="11">
        <f>IF(ISBLANK('By Round'!S14),"",'By Round'!S14)</f>
        <v/>
      </c>
      <c r="T18">
        <f>IF(ISBLANK('By Round'!T14),"",'By Round'!T14)</f>
        <v/>
      </c>
      <c r="U18" s="11">
        <f>IF(ISBLANK('By Round'!U14),"",'By Round'!U14)</f>
        <v/>
      </c>
      <c r="V18">
        <f>IF(ISBLANK('By Round'!V14),"",'By Round'!V14)</f>
        <v/>
      </c>
      <c r="W18" s="11">
        <f>IF(ISBLANK('By Round'!W14),"",'By Round'!W14)</f>
        <v/>
      </c>
      <c r="X18">
        <f>IF(ISBLANK('By Round'!X14),"",'By Round'!X14)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2">
        <f>AVERAGE(W19:W19)</f>
        <v/>
      </c>
      <c r="N19" s="13">
        <f>AVERAGE(X19:X19)</f>
        <v/>
      </c>
      <c r="O19" s="14">
        <f>IF(COUNT(U19:U19)&gt;0,Q19/COUNT(U19:U19),0.5)</f>
        <v/>
      </c>
      <c r="P19" s="14">
        <f>IF(COUNT(V19:V19)&gt;0,R19/COUNT(V19:V19),0.5)</f>
        <v/>
      </c>
      <c r="Q19" s="5">
        <f>SUM(U19:U19)</f>
        <v/>
      </c>
      <c r="R19" s="5">
        <f>SUM(V19:V19)</f>
        <v/>
      </c>
      <c r="S19" s="11">
        <f>IF(ISNUMBER(K19),K19,IF(ISNUMBER(L19),-L19,""))</f>
        <v/>
      </c>
      <c r="T19">
        <f>IF(ISNUMBER(L19),L19,IF(ISNUMBER(K19),-K19,""))</f>
        <v/>
      </c>
      <c r="U19" s="11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1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  <c r="Y20" s="15" t="n"/>
      <c r="Z20" s="15" t="n"/>
      <c r="AA20" s="15" t="n"/>
      <c r="AB20" s="15" t="n"/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IF(ISBLANK('By Round'!M21),"",'By Round'!M21)</f>
        <v/>
      </c>
      <c r="N21">
        <f>IF(ISBLANK('By Round'!N21),"",'By Round'!N21)</f>
        <v/>
      </c>
      <c r="O21">
        <f>IF(ISBLANK('By Round'!O21),"",'By Round'!O21)</f>
        <v/>
      </c>
      <c r="P21">
        <f>IF(ISBLANK('By Round'!P21),"",'By Round'!P21)</f>
        <v/>
      </c>
      <c r="Q21">
        <f>IF(ISBLANK('By Round'!Q21),"",'By Round'!Q21)</f>
        <v/>
      </c>
      <c r="R21">
        <f>IF(ISBLANK('By Round'!R21),"",'By Round'!R21)</f>
        <v/>
      </c>
      <c r="S21" s="11">
        <f>IF(ISBLANK('By Round'!S21),"",'By Round'!S21)</f>
        <v/>
      </c>
      <c r="T21">
        <f>IF(ISBLANK('By Round'!T21),"",'By Round'!T21)</f>
        <v/>
      </c>
      <c r="U21" s="11">
        <f>IF(ISBLANK('By Round'!U21),"",'By Round'!U21)</f>
        <v/>
      </c>
      <c r="V21">
        <f>IF(ISBLANK('By Round'!V21),"",'By Round'!V21)</f>
        <v/>
      </c>
      <c r="W21" s="11">
        <f>IF(ISBLANK('By Round'!W21),"",'By Round'!W21)</f>
        <v/>
      </c>
      <c r="X21">
        <f>IF(ISBLANK('By Round'!X21),"",'By Round'!X21)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2">
        <f>AVERAGE(W22:W22)</f>
        <v/>
      </c>
      <c r="N22" s="13">
        <f>AVERAGE(X22:X22)</f>
        <v/>
      </c>
      <c r="O22" s="14">
        <f>IF(COUNT(U22:U22)&gt;0,Q22/COUNT(U22:U22),0.5)</f>
        <v/>
      </c>
      <c r="P22" s="14">
        <f>IF(COUNT(V22:V22)&gt;0,R22/COUNT(V22:V22),0.5)</f>
        <v/>
      </c>
      <c r="Q22" s="5">
        <f>SUM(U22:U22)</f>
        <v/>
      </c>
      <c r="R22" s="5">
        <f>SUM(V22:V22)</f>
        <v/>
      </c>
      <c r="S22" s="11">
        <f>IF(ISNUMBER(K22),K22,IF(ISNUMBER(L22),-L22,""))</f>
        <v/>
      </c>
      <c r="T22">
        <f>IF(ISNUMBER(L22),L22,IF(ISNUMBER(K22),-K22,""))</f>
        <v/>
      </c>
      <c r="U22" s="11">
        <f>IF(ISNUMBER(S22),IF(ISNUMBER(S23),IF(S22&gt;S23,1.0,IF(S22=S23,0.5,0.0)),0.5),0.5)</f>
        <v/>
      </c>
      <c r="V22">
        <f>IF(ISNUMBER(T22),IF(ISNUMBER(T23),IF(T22&gt;T23,1.0,IF(T22=T23,0.5,0.0)),0.5),0.5)</f>
        <v/>
      </c>
      <c r="W22" s="11">
        <f>IF(AND(ISNUMBER(S22),ISNUMBER(S23)),VLOOKUP(ABS(S22-S23),'IMP Table'!$A$2:$C$26,3)*SIGN(S22-S23),0)</f>
        <v/>
      </c>
      <c r="X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AVERAGE(W23:W23)</f>
        <v/>
      </c>
      <c r="N23" s="18">
        <f>AVERAGE(X23:X23)</f>
        <v/>
      </c>
      <c r="O23" s="19">
        <f>IF(COUNT(U23:U23)&gt;0,Q23/COUNT(U23:U23),0.5)</f>
        <v/>
      </c>
      <c r="P23" s="19">
        <f>IF(COUNT(V23:V23)&gt;0,R23/COUNT(V23:V23),0.5)</f>
        <v/>
      </c>
      <c r="Q23" s="20">
        <f>SUM(U23:U23)</f>
        <v/>
      </c>
      <c r="R23" s="20">
        <f>SUM(V23:V23)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IF(ISNUMBER(S23),IF(ISNUMBER(S22),IF(S23&gt;S22,1.0,IF(S23=S22,0.5,0.0)),0.5),0.5)</f>
        <v/>
      </c>
      <c r="V23" s="15">
        <f>IF(ISNUMBER(T23),IF(ISNUMBER(T22),IF(T23&gt;T22,1.0,IF(T23=T22,0.5,0.0)),0.5),0.5)</f>
        <v/>
      </c>
      <c r="W23" s="21">
        <f>IF(AND(ISNUMBER(S23),ISNUMBER(S22)),VLOOKUP(ABS(S23-S22),'IMP Table'!$A$2:$C$26,3)*SIGN(S23-S22),0)</f>
        <v/>
      </c>
      <c r="X23" s="15">
        <f>IF(AND(ISNUMBER(T23),ISNUMBER(T22)),VLOOKUP(ABS(T23-T22),'IMP Table'!$A$2:$C$26,3)*SIGN(T23-T22),0)</f>
        <v/>
      </c>
      <c r="Y23" s="15" t="n"/>
      <c r="Z23" s="15" t="n"/>
      <c r="AA23" s="15" t="n"/>
      <c r="AB23" s="15" t="n"/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IF(ISBLANK('By Round'!M22),"",'By Round'!M22)</f>
        <v/>
      </c>
      <c r="N24">
        <f>IF(ISBLANK('By Round'!N22),"",'By Round'!N22)</f>
        <v/>
      </c>
      <c r="O24">
        <f>IF(ISBLANK('By Round'!O22),"",'By Round'!O22)</f>
        <v/>
      </c>
      <c r="P24">
        <f>IF(ISBLANK('By Round'!P22),"",'By Round'!P22)</f>
        <v/>
      </c>
      <c r="Q24">
        <f>IF(ISBLANK('By Round'!Q22),"",'By Round'!Q22)</f>
        <v/>
      </c>
      <c r="R24">
        <f>IF(ISBLANK('By Round'!R22),"",'By Round'!R22)</f>
        <v/>
      </c>
      <c r="S24" s="11">
        <f>IF(ISBLANK('By Round'!S22),"",'By Round'!S22)</f>
        <v/>
      </c>
      <c r="T24">
        <f>IF(ISBLANK('By Round'!T22),"",'By Round'!T22)</f>
        <v/>
      </c>
      <c r="U24" s="11">
        <f>IF(ISBLANK('By Round'!U22),"",'By Round'!U22)</f>
        <v/>
      </c>
      <c r="V24">
        <f>IF(ISBLANK('By Round'!V22),"",'By Round'!V22)</f>
        <v/>
      </c>
      <c r="W24" s="11">
        <f>IF(ISBLANK('By Round'!W22),"",'By Round'!W22)</f>
        <v/>
      </c>
      <c r="X24">
        <f>IF(ISBLANK('By Round'!X22),"",'By Round'!X22)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2">
        <f>AVERAGE(W25:W25)</f>
        <v/>
      </c>
      <c r="N25" s="13">
        <f>AVERAGE(X25:X25)</f>
        <v/>
      </c>
      <c r="O25" s="14">
        <f>IF(COUNT(U25:U25)&gt;0,Q25/COUNT(U25:U25),0.5)</f>
        <v/>
      </c>
      <c r="P25" s="14">
        <f>IF(COUNT(V25:V25)&gt;0,R25/COUNT(V25:V25),0.5)</f>
        <v/>
      </c>
      <c r="Q25" s="5">
        <f>SUM(U25:U25)</f>
        <v/>
      </c>
      <c r="R25" s="5">
        <f>SUM(V25:V25)</f>
        <v/>
      </c>
      <c r="S25" s="11">
        <f>IF(ISNUMBER(K25),K25,IF(ISNUMBER(L25),-L25,""))</f>
        <v/>
      </c>
      <c r="T25">
        <f>IF(ISNUMBER(L25),L25,IF(ISNUMBER(K25),-K25,""))</f>
        <v/>
      </c>
      <c r="U25" s="11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1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  <c r="Y26" s="15" t="n"/>
      <c r="Z26" s="15" t="n"/>
      <c r="AA26" s="15" t="n"/>
      <c r="AB26" s="15" t="n"/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IF(ISBLANK('By Round'!M23),"",'By Round'!M23)</f>
        <v/>
      </c>
      <c r="N27">
        <f>IF(ISBLANK('By Round'!N23),"",'By Round'!N23)</f>
        <v/>
      </c>
      <c r="O27">
        <f>IF(ISBLANK('By Round'!O23),"",'By Round'!O23)</f>
        <v/>
      </c>
      <c r="P27">
        <f>IF(ISBLANK('By Round'!P23),"",'By Round'!P23)</f>
        <v/>
      </c>
      <c r="Q27">
        <f>IF(ISBLANK('By Round'!Q23),"",'By Round'!Q23)</f>
        <v/>
      </c>
      <c r="R27">
        <f>IF(ISBLANK('By Round'!R23),"",'By Round'!R23)</f>
        <v/>
      </c>
      <c r="S27" s="11">
        <f>IF(ISBLANK('By Round'!S23),"",'By Round'!S23)</f>
        <v/>
      </c>
      <c r="T27">
        <f>IF(ISBLANK('By Round'!T23),"",'By Round'!T23)</f>
        <v/>
      </c>
      <c r="U27" s="11">
        <f>IF(ISBLANK('By Round'!U23),"",'By Round'!U23)</f>
        <v/>
      </c>
      <c r="V27">
        <f>IF(ISBLANK('By Round'!V23),"",'By Round'!V23)</f>
        <v/>
      </c>
      <c r="W27" s="11">
        <f>IF(ISBLANK('By Round'!W23),"",'By Round'!W23)</f>
        <v/>
      </c>
      <c r="X27">
        <f>IF(ISBLANK('By Round'!X23),"",'By Round'!X23)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2">
        <f>AVERAGE(W28:W28)</f>
        <v/>
      </c>
      <c r="N28" s="13">
        <f>AVERAGE(X28:X28)</f>
        <v/>
      </c>
      <c r="O28" s="14">
        <f>IF(COUNT(U28:U28)&gt;0,Q28/COUNT(U28:U28),0.5)</f>
        <v/>
      </c>
      <c r="P28" s="14">
        <f>IF(COUNT(V28:V28)&gt;0,R28/COUNT(V28:V28),0.5)</f>
        <v/>
      </c>
      <c r="Q28" s="5">
        <f>SUM(U28:U28)</f>
        <v/>
      </c>
      <c r="R28" s="5">
        <f>SUM(V28:V28)</f>
        <v/>
      </c>
      <c r="S28" s="11">
        <f>IF(ISNUMBER(K28),K28,IF(ISNUMBER(L28),-L28,""))</f>
        <v/>
      </c>
      <c r="T28">
        <f>IF(ISNUMBER(L28),L28,IF(ISNUMBER(K28),-K28,""))</f>
        <v/>
      </c>
      <c r="U28" s="11">
        <f>IF(ISNUMBER(S28),IF(ISNUMBER(S29),IF(S28&gt;S29,1.0,IF(S28=S29,0.5,0.0)),0.5),0.5)</f>
        <v/>
      </c>
      <c r="V28">
        <f>IF(ISNUMBER(T28),IF(ISNUMBER(T29),IF(T28&gt;T29,1.0,IF(T28=T29,0.5,0.0)),0.5),0.5)</f>
        <v/>
      </c>
      <c r="W28" s="11">
        <f>IF(AND(ISNUMBER(S28),ISNUMBER(S29)),VLOOKUP(ABS(S28-S29),'IMP Table'!$A$2:$C$26,3)*SIGN(S28-S29),0)</f>
        <v/>
      </c>
      <c r="X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AVERAGE(W29:W29)</f>
        <v/>
      </c>
      <c r="N29" s="18">
        <f>AVERAGE(X29:X29)</f>
        <v/>
      </c>
      <c r="O29" s="19">
        <f>IF(COUNT(U29:U29)&gt;0,Q29/COUNT(U29:U29),0.5)</f>
        <v/>
      </c>
      <c r="P29" s="19">
        <f>IF(COUNT(V29:V29)&gt;0,R29/COUNT(V29:V29),0.5)</f>
        <v/>
      </c>
      <c r="Q29" s="20">
        <f>SUM(U29:U29)</f>
        <v/>
      </c>
      <c r="R29" s="20">
        <f>SUM(V29:V29)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IF(ISNUMBER(S29),IF(ISNUMBER(S28),IF(S29&gt;S28,1.0,IF(S29=S28,0.5,0.0)),0.5),0.5)</f>
        <v/>
      </c>
      <c r="V29" s="15">
        <f>IF(ISNUMBER(T29),IF(ISNUMBER(T28),IF(T29&gt;T28,1.0,IF(T29=T28,0.5,0.0)),0.5),0.5)</f>
        <v/>
      </c>
      <c r="W29" s="21">
        <f>IF(AND(ISNUMBER(S29),ISNUMBER(S28)),VLOOKUP(ABS(S29-S28),'IMP Table'!$A$2:$C$26,3)*SIGN(S29-S28),0)</f>
        <v/>
      </c>
      <c r="X29" s="15">
        <f>IF(AND(ISNUMBER(T29),ISNUMBER(T28)),VLOOKUP(ABS(T29-T28),'IMP Table'!$A$2:$C$26,3)*SIGN(T29-T28),0)</f>
        <v/>
      </c>
      <c r="Y29" s="15" t="n"/>
      <c r="Z29" s="15" t="n"/>
      <c r="AA29" s="15" t="n"/>
      <c r="AB29" s="15" t="n"/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IF(ISBLANK('By Round'!M30),"",'By Round'!M30)</f>
        <v/>
      </c>
      <c r="N30">
        <f>IF(ISBLANK('By Round'!N30),"",'By Round'!N30)</f>
        <v/>
      </c>
      <c r="O30">
        <f>IF(ISBLANK('By Round'!O30),"",'By Round'!O30)</f>
        <v/>
      </c>
      <c r="P30">
        <f>IF(ISBLANK('By Round'!P30),"",'By Round'!P30)</f>
        <v/>
      </c>
      <c r="Q30">
        <f>IF(ISBLANK('By Round'!Q30),"",'By Round'!Q30)</f>
        <v/>
      </c>
      <c r="R30">
        <f>IF(ISBLANK('By Round'!R30),"",'By Round'!R30)</f>
        <v/>
      </c>
      <c r="S30" s="11">
        <f>IF(ISBLANK('By Round'!S30),"",'By Round'!S30)</f>
        <v/>
      </c>
      <c r="T30">
        <f>IF(ISBLANK('By Round'!T30),"",'By Round'!T30)</f>
        <v/>
      </c>
      <c r="U30" s="11">
        <f>IF(ISBLANK('By Round'!U30),"",'By Round'!U30)</f>
        <v/>
      </c>
      <c r="V30">
        <f>IF(ISBLANK('By Round'!V30),"",'By Round'!V30)</f>
        <v/>
      </c>
      <c r="W30" s="11">
        <f>IF(ISBLANK('By Round'!W30),"",'By Round'!W30)</f>
        <v/>
      </c>
      <c r="X30">
        <f>IF(ISBLANK('By Round'!X30),"",'By Round'!X30)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2">
        <f>AVERAGE(W31:W31)</f>
        <v/>
      </c>
      <c r="N31" s="13">
        <f>AVERAGE(X31:X31)</f>
        <v/>
      </c>
      <c r="O31" s="14">
        <f>IF(COUNT(U31:U31)&gt;0,Q31/COUNT(U31:U31),0.5)</f>
        <v/>
      </c>
      <c r="P31" s="14">
        <f>IF(COUNT(V31:V31)&gt;0,R31/COUNT(V31:V31),0.5)</f>
        <v/>
      </c>
      <c r="Q31" s="5">
        <f>SUM(U31:U31)</f>
        <v/>
      </c>
      <c r="R31" s="5">
        <f>SUM(V31:V31)</f>
        <v/>
      </c>
      <c r="S31" s="11">
        <f>IF(ISNUMBER(K31),K31,IF(ISNUMBER(L31),-L31,""))</f>
        <v/>
      </c>
      <c r="T31">
        <f>IF(ISNUMBER(L31),L31,IF(ISNUMBER(K31),-K31,""))</f>
        <v/>
      </c>
      <c r="U31" s="11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1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  <c r="Y32" s="15" t="n"/>
      <c r="Z32" s="15" t="n"/>
      <c r="AA32" s="15" t="n"/>
      <c r="AB32" s="15" t="n"/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IF(ISBLANK('By Round'!M31),"",'By Round'!M31)</f>
        <v/>
      </c>
      <c r="N33">
        <f>IF(ISBLANK('By Round'!N31),"",'By Round'!N31)</f>
        <v/>
      </c>
      <c r="O33">
        <f>IF(ISBLANK('By Round'!O31),"",'By Round'!O31)</f>
        <v/>
      </c>
      <c r="P33">
        <f>IF(ISBLANK('By Round'!P31),"",'By Round'!P31)</f>
        <v/>
      </c>
      <c r="Q33">
        <f>IF(ISBLANK('By Round'!Q31),"",'By Round'!Q31)</f>
        <v/>
      </c>
      <c r="R33">
        <f>IF(ISBLANK('By Round'!R31),"",'By Round'!R31)</f>
        <v/>
      </c>
      <c r="S33" s="11">
        <f>IF(ISBLANK('By Round'!S31),"",'By Round'!S31)</f>
        <v/>
      </c>
      <c r="T33">
        <f>IF(ISBLANK('By Round'!T31),"",'By Round'!T31)</f>
        <v/>
      </c>
      <c r="U33" s="11">
        <f>IF(ISBLANK('By Round'!U31),"",'By Round'!U31)</f>
        <v/>
      </c>
      <c r="V33">
        <f>IF(ISBLANK('By Round'!V31),"",'By Round'!V31)</f>
        <v/>
      </c>
      <c r="W33" s="11">
        <f>IF(ISBLANK('By Round'!W31),"",'By Round'!W31)</f>
        <v/>
      </c>
      <c r="X33">
        <f>IF(ISBLANK('By Round'!X31),"",'By Round'!X31)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2">
        <f>AVERAGE(W34:W34)</f>
        <v/>
      </c>
      <c r="N34" s="13">
        <f>AVERAGE(X34:X34)</f>
        <v/>
      </c>
      <c r="O34" s="14">
        <f>IF(COUNT(U34:U34)&gt;0,Q34/COUNT(U34:U34),0.5)</f>
        <v/>
      </c>
      <c r="P34" s="14">
        <f>IF(COUNT(V34:V34)&gt;0,R34/COUNT(V34:V34),0.5)</f>
        <v/>
      </c>
      <c r="Q34" s="5">
        <f>SUM(U34:U34)</f>
        <v/>
      </c>
      <c r="R34" s="5">
        <f>SUM(V34:V34)</f>
        <v/>
      </c>
      <c r="S34" s="11">
        <f>IF(ISNUMBER(K34),K34,IF(ISNUMBER(L34),-L34,""))</f>
        <v/>
      </c>
      <c r="T34">
        <f>IF(ISNUMBER(L34),L34,IF(ISNUMBER(K34),-K34,""))</f>
        <v/>
      </c>
      <c r="U34" s="11">
        <f>IF(ISNUMBER(S34),IF(ISNUMBER(S35),IF(S34&gt;S35,1.0,IF(S34=S35,0.5,0.0)),0.5),0.5)</f>
        <v/>
      </c>
      <c r="V34">
        <f>IF(ISNUMBER(T34),IF(ISNUMBER(T35),IF(T34&gt;T35,1.0,IF(T34=T35,0.5,0.0)),0.5),0.5)</f>
        <v/>
      </c>
      <c r="W34" s="11">
        <f>IF(AND(ISNUMBER(S34),ISNUMBER(S35)),VLOOKUP(ABS(S34-S35),'IMP Table'!$A$2:$C$26,3)*SIGN(S34-S35),0)</f>
        <v/>
      </c>
      <c r="X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AVERAGE(W35:W35)</f>
        <v/>
      </c>
      <c r="N35" s="18">
        <f>AVERAGE(X35:X35)</f>
        <v/>
      </c>
      <c r="O35" s="19">
        <f>IF(COUNT(U35:U35)&gt;0,Q35/COUNT(U35:U35),0.5)</f>
        <v/>
      </c>
      <c r="P35" s="19">
        <f>IF(COUNT(V35:V35)&gt;0,R35/COUNT(V35:V35),0.5)</f>
        <v/>
      </c>
      <c r="Q35" s="20">
        <f>SUM(U35:U35)</f>
        <v/>
      </c>
      <c r="R35" s="20">
        <f>SUM(V35:V35)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IF(ISNUMBER(S35),IF(ISNUMBER(S34),IF(S35&gt;S34,1.0,IF(S35=S34,0.5,0.0)),0.5),0.5)</f>
        <v/>
      </c>
      <c r="V35" s="15">
        <f>IF(ISNUMBER(T35),IF(ISNUMBER(T34),IF(T35&gt;T34,1.0,IF(T35=T34,0.5,0.0)),0.5),0.5)</f>
        <v/>
      </c>
      <c r="W35" s="21">
        <f>IF(AND(ISNUMBER(S35),ISNUMBER(S34)),VLOOKUP(ABS(S35-S34),'IMP Table'!$A$2:$C$26,3)*SIGN(S35-S34),0)</f>
        <v/>
      </c>
      <c r="X35" s="15">
        <f>IF(AND(ISNUMBER(T35),ISNUMBER(T34)),VLOOKUP(ABS(T35-T34),'IMP Table'!$A$2:$C$26,3)*SIGN(T35-T34),0)</f>
        <v/>
      </c>
      <c r="Y35" s="15" t="n"/>
      <c r="Z35" s="15" t="n"/>
      <c r="AA35" s="15" t="n"/>
      <c r="AB35" s="15" t="n"/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IF(ISBLANK('By Round'!M32),"",'By Round'!M32)</f>
        <v/>
      </c>
      <c r="N36">
        <f>IF(ISBLANK('By Round'!N32),"",'By Round'!N32)</f>
        <v/>
      </c>
      <c r="O36">
        <f>IF(ISBLANK('By Round'!O32),"",'By Round'!O32)</f>
        <v/>
      </c>
      <c r="P36">
        <f>IF(ISBLANK('By Round'!P32),"",'By Round'!P32)</f>
        <v/>
      </c>
      <c r="Q36">
        <f>IF(ISBLANK('By Round'!Q32),"",'By Round'!Q32)</f>
        <v/>
      </c>
      <c r="R36">
        <f>IF(ISBLANK('By Round'!R32),"",'By Round'!R32)</f>
        <v/>
      </c>
      <c r="S36" s="11">
        <f>IF(ISBLANK('By Round'!S32),"",'By Round'!S32)</f>
        <v/>
      </c>
      <c r="T36">
        <f>IF(ISBLANK('By Round'!T32),"",'By Round'!T32)</f>
        <v/>
      </c>
      <c r="U36" s="11">
        <f>IF(ISBLANK('By Round'!U32),"",'By Round'!U32)</f>
        <v/>
      </c>
      <c r="V36">
        <f>IF(ISBLANK('By Round'!V32),"",'By Round'!V32)</f>
        <v/>
      </c>
      <c r="W36" s="11">
        <f>IF(ISBLANK('By Round'!W32),"",'By Round'!W32)</f>
        <v/>
      </c>
      <c r="X36">
        <f>IF(ISBLANK('By Round'!X32),"",'By Round'!X32)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2">
        <f>AVERAGE(W37:W37)</f>
        <v/>
      </c>
      <c r="N37" s="13">
        <f>AVERAGE(X37:X37)</f>
        <v/>
      </c>
      <c r="O37" s="14">
        <f>IF(COUNT(U37:U37)&gt;0,Q37/COUNT(U37:U37),0.5)</f>
        <v/>
      </c>
      <c r="P37" s="14">
        <f>IF(COUNT(V37:V37)&gt;0,R37/COUNT(V37:V37),0.5)</f>
        <v/>
      </c>
      <c r="Q37" s="5">
        <f>SUM(U37:U37)</f>
        <v/>
      </c>
      <c r="R37" s="5">
        <f>SUM(V37:V37)</f>
        <v/>
      </c>
      <c r="S37" s="11">
        <f>IF(ISNUMBER(K37),K37,IF(ISNUMBER(L37),-L37,""))</f>
        <v/>
      </c>
      <c r="T37">
        <f>IF(ISNUMBER(L37),L37,IF(ISNUMBER(K37),-K37,""))</f>
        <v/>
      </c>
      <c r="U37" s="11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1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  <c r="Y38" s="15" t="n"/>
      <c r="Z38" s="15" t="n"/>
      <c r="AA38" s="15" t="n"/>
      <c r="AB38" s="15" t="n"/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IF(ISBLANK('By Round'!M39),"",'By Round'!M39)</f>
        <v/>
      </c>
      <c r="N39">
        <f>IF(ISBLANK('By Round'!N39),"",'By Round'!N39)</f>
        <v/>
      </c>
      <c r="O39">
        <f>IF(ISBLANK('By Round'!O39),"",'By Round'!O39)</f>
        <v/>
      </c>
      <c r="P39">
        <f>IF(ISBLANK('By Round'!P39),"",'By Round'!P39)</f>
        <v/>
      </c>
      <c r="Q39">
        <f>IF(ISBLANK('By Round'!Q39),"",'By Round'!Q39)</f>
        <v/>
      </c>
      <c r="R39">
        <f>IF(ISBLANK('By Round'!R39),"",'By Round'!R39)</f>
        <v/>
      </c>
      <c r="S39" s="11">
        <f>IF(ISBLANK('By Round'!S39),"",'By Round'!S39)</f>
        <v/>
      </c>
      <c r="T39">
        <f>IF(ISBLANK('By Round'!T39),"",'By Round'!T39)</f>
        <v/>
      </c>
      <c r="U39" s="11">
        <f>IF(ISBLANK('By Round'!U39),"",'By Round'!U39)</f>
        <v/>
      </c>
      <c r="V39">
        <f>IF(ISBLANK('By Round'!V39),"",'By Round'!V39)</f>
        <v/>
      </c>
      <c r="W39" s="11">
        <f>IF(ISBLANK('By Round'!W39),"",'By Round'!W39)</f>
        <v/>
      </c>
      <c r="X39">
        <f>IF(ISBLANK('By Round'!X39),"",'By Round'!X39)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2">
        <f>AVERAGE(W40:W40)</f>
        <v/>
      </c>
      <c r="N40" s="13">
        <f>AVERAGE(X40:X40)</f>
        <v/>
      </c>
      <c r="O40" s="14">
        <f>IF(COUNT(U40:U40)&gt;0,Q40/COUNT(U40:U40),0.5)</f>
        <v/>
      </c>
      <c r="P40" s="14">
        <f>IF(COUNT(V40:V40)&gt;0,R40/COUNT(V40:V40),0.5)</f>
        <v/>
      </c>
      <c r="Q40" s="5">
        <f>SUM(U40:U40)</f>
        <v/>
      </c>
      <c r="R40" s="5">
        <f>SUM(V40:V40)</f>
        <v/>
      </c>
      <c r="S40" s="11">
        <f>IF(ISNUMBER(K40),K40,IF(ISNUMBER(L40),-L40,""))</f>
        <v/>
      </c>
      <c r="T40">
        <f>IF(ISNUMBER(L40),L40,IF(ISNUMBER(K40),-K40,""))</f>
        <v/>
      </c>
      <c r="U40" s="11">
        <f>IF(ISNUMBER(S40),IF(ISNUMBER(S41),IF(S40&gt;S41,1.0,IF(S40=S41,0.5,0.0)),0.5),0.5)</f>
        <v/>
      </c>
      <c r="V40">
        <f>IF(ISNUMBER(T40),IF(ISNUMBER(T41),IF(T40&gt;T41,1.0,IF(T40=T41,0.5,0.0)),0.5),0.5)</f>
        <v/>
      </c>
      <c r="W40" s="11">
        <f>IF(AND(ISNUMBER(S40),ISNUMBER(S41)),VLOOKUP(ABS(S40-S41),'IMP Table'!$A$2:$C$26,3)*SIGN(S40-S41),0)</f>
        <v/>
      </c>
      <c r="X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AVERAGE(W41:W41)</f>
        <v/>
      </c>
      <c r="N41" s="18">
        <f>AVERAGE(X41:X41)</f>
        <v/>
      </c>
      <c r="O41" s="19">
        <f>IF(COUNT(U41:U41)&gt;0,Q41/COUNT(U41:U41),0.5)</f>
        <v/>
      </c>
      <c r="P41" s="19">
        <f>IF(COUNT(V41:V41)&gt;0,R41/COUNT(V41:V41),0.5)</f>
        <v/>
      </c>
      <c r="Q41" s="20">
        <f>SUM(U41:U41)</f>
        <v/>
      </c>
      <c r="R41" s="20">
        <f>SUM(V41:V41)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IF(ISNUMBER(S41),IF(ISNUMBER(S40),IF(S41&gt;S40,1.0,IF(S41=S40,0.5,0.0)),0.5),0.5)</f>
        <v/>
      </c>
      <c r="V41" s="15">
        <f>IF(ISNUMBER(T41),IF(ISNUMBER(T40),IF(T41&gt;T40,1.0,IF(T41=T40,0.5,0.0)),0.5),0.5)</f>
        <v/>
      </c>
      <c r="W41" s="21">
        <f>IF(AND(ISNUMBER(S41),ISNUMBER(S40)),VLOOKUP(ABS(S41-S40),'IMP Table'!$A$2:$C$26,3)*SIGN(S41-S40),0)</f>
        <v/>
      </c>
      <c r="X41" s="15">
        <f>IF(AND(ISNUMBER(T41),ISNUMBER(T40)),VLOOKUP(ABS(T41-T40),'IMP Table'!$A$2:$C$26,3)*SIGN(T41-T40),0)</f>
        <v/>
      </c>
      <c r="Y41" s="15" t="n"/>
      <c r="Z41" s="15" t="n"/>
      <c r="AA41" s="15" t="n"/>
      <c r="AB41" s="15" t="n"/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IF(ISBLANK('By Round'!M40),"",'By Round'!M40)</f>
        <v/>
      </c>
      <c r="N42">
        <f>IF(ISBLANK('By Round'!N40),"",'By Round'!N40)</f>
        <v/>
      </c>
      <c r="O42">
        <f>IF(ISBLANK('By Round'!O40),"",'By Round'!O40)</f>
        <v/>
      </c>
      <c r="P42">
        <f>IF(ISBLANK('By Round'!P40),"",'By Round'!P40)</f>
        <v/>
      </c>
      <c r="Q42">
        <f>IF(ISBLANK('By Round'!Q40),"",'By Round'!Q40)</f>
        <v/>
      </c>
      <c r="R42">
        <f>IF(ISBLANK('By Round'!R40),"",'By Round'!R40)</f>
        <v/>
      </c>
      <c r="S42" s="11">
        <f>IF(ISBLANK('By Round'!S40),"",'By Round'!S40)</f>
        <v/>
      </c>
      <c r="T42">
        <f>IF(ISBLANK('By Round'!T40),"",'By Round'!T40)</f>
        <v/>
      </c>
      <c r="U42" s="11">
        <f>IF(ISBLANK('By Round'!U40),"",'By Round'!U40)</f>
        <v/>
      </c>
      <c r="V42">
        <f>IF(ISBLANK('By Round'!V40),"",'By Round'!V40)</f>
        <v/>
      </c>
      <c r="W42" s="11">
        <f>IF(ISBLANK('By Round'!W40),"",'By Round'!W40)</f>
        <v/>
      </c>
      <c r="X42">
        <f>IF(ISBLANK('By Round'!X40),"",'By Round'!X40)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2">
        <f>AVERAGE(W43:W43)</f>
        <v/>
      </c>
      <c r="N43" s="13">
        <f>AVERAGE(X43:X43)</f>
        <v/>
      </c>
      <c r="O43" s="14">
        <f>IF(COUNT(U43:U43)&gt;0,Q43/COUNT(U43:U43),0.5)</f>
        <v/>
      </c>
      <c r="P43" s="14">
        <f>IF(COUNT(V43:V43)&gt;0,R43/COUNT(V43:V43),0.5)</f>
        <v/>
      </c>
      <c r="Q43" s="5">
        <f>SUM(U43:U43)</f>
        <v/>
      </c>
      <c r="R43" s="5">
        <f>SUM(V43:V43)</f>
        <v/>
      </c>
      <c r="S43" s="11">
        <f>IF(ISNUMBER(K43),K43,IF(ISNUMBER(L43),-L43,""))</f>
        <v/>
      </c>
      <c r="T43">
        <f>IF(ISNUMBER(L43),L43,IF(ISNUMBER(K43),-K43,""))</f>
        <v/>
      </c>
      <c r="U43" s="11">
        <f>IF(ISNUMBER(S43),IF(ISNUMBER(S44),IF(S43&gt;S44,1.0,IF(S43=S44,0.5,0.0)),0.5),0.5)</f>
        <v/>
      </c>
      <c r="V43">
        <f>IF(ISNUMBER(T43),IF(ISNUMBER(T44),IF(T43&gt;T44,1.0,IF(T43=T44,0.5,0.0)),0.5),0.5)</f>
        <v/>
      </c>
      <c r="W43" s="11">
        <f>IF(AND(ISNUMBER(S43),ISNUMBER(S44)),VLOOKUP(ABS(S43-S44),'IMP Table'!$A$2:$C$26,3)*SIGN(S43-S44),0)</f>
        <v/>
      </c>
      <c r="X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AVERAGE(W44:W44)</f>
        <v/>
      </c>
      <c r="N44" s="18">
        <f>AVERAGE(X44:X44)</f>
        <v/>
      </c>
      <c r="O44" s="19">
        <f>IF(COUNT(U44:U44)&gt;0,Q44/COUNT(U44:U44),0.5)</f>
        <v/>
      </c>
      <c r="P44" s="19">
        <f>IF(COUNT(V44:V44)&gt;0,R44/COUNT(V44:V44),0.5)</f>
        <v/>
      </c>
      <c r="Q44" s="20">
        <f>SUM(U44:U44)</f>
        <v/>
      </c>
      <c r="R44" s="20">
        <f>SUM(V44:V44)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IF(ISNUMBER(S44),IF(ISNUMBER(S43),IF(S44&gt;S43,1.0,IF(S44=S43,0.5,0.0)),0.5),0.5)</f>
        <v/>
      </c>
      <c r="V44" s="15">
        <f>IF(ISNUMBER(T44),IF(ISNUMBER(T43),IF(T44&gt;T43,1.0,IF(T44=T43,0.5,0.0)),0.5),0.5)</f>
        <v/>
      </c>
      <c r="W44" s="21">
        <f>IF(AND(ISNUMBER(S44),ISNUMBER(S43)),VLOOKUP(ABS(S44-S43),'IMP Table'!$A$2:$C$26,3)*SIGN(S44-S43),0)</f>
        <v/>
      </c>
      <c r="X44" s="15">
        <f>IF(AND(ISNUMBER(T44),ISNUMBER(T43)),VLOOKUP(ABS(T44-T43),'IMP Table'!$A$2:$C$26,3)*SIGN(T44-T43),0)</f>
        <v/>
      </c>
      <c r="Y44" s="15" t="n"/>
      <c r="Z44" s="15" t="n"/>
      <c r="AA44" s="15" t="n"/>
      <c r="AB44" s="15" t="n"/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IF(ISBLANK('By Round'!M41),"",'By Round'!M41)</f>
        <v/>
      </c>
      <c r="N45">
        <f>IF(ISBLANK('By Round'!N41),"",'By Round'!N41)</f>
        <v/>
      </c>
      <c r="O45">
        <f>IF(ISBLANK('By Round'!O41),"",'By Round'!O41)</f>
        <v/>
      </c>
      <c r="P45">
        <f>IF(ISBLANK('By Round'!P41),"",'By Round'!P41)</f>
        <v/>
      </c>
      <c r="Q45">
        <f>IF(ISBLANK('By Round'!Q41),"",'By Round'!Q41)</f>
        <v/>
      </c>
      <c r="R45">
        <f>IF(ISBLANK('By Round'!R41),"",'By Round'!R41)</f>
        <v/>
      </c>
      <c r="S45" s="11">
        <f>IF(ISBLANK('By Round'!S41),"",'By Round'!S41)</f>
        <v/>
      </c>
      <c r="T45">
        <f>IF(ISBLANK('By Round'!T41),"",'By Round'!T41)</f>
        <v/>
      </c>
      <c r="U45" s="11">
        <f>IF(ISBLANK('By Round'!U41),"",'By Round'!U41)</f>
        <v/>
      </c>
      <c r="V45">
        <f>IF(ISBLANK('By Round'!V41),"",'By Round'!V41)</f>
        <v/>
      </c>
      <c r="W45" s="11">
        <f>IF(ISBLANK('By Round'!W41),"",'By Round'!W41)</f>
        <v/>
      </c>
      <c r="X45">
        <f>IF(ISBLANK('By Round'!X41),"",'By Round'!X41)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2">
        <f>AVERAGE(W46:W46)</f>
        <v/>
      </c>
      <c r="N46" s="13">
        <f>AVERAGE(X46:X46)</f>
        <v/>
      </c>
      <c r="O46" s="14">
        <f>IF(COUNT(U46:U46)&gt;0,Q46/COUNT(U46:U46),0.5)</f>
        <v/>
      </c>
      <c r="P46" s="14">
        <f>IF(COUNT(V46:V46)&gt;0,R46/COUNT(V46:V46),0.5)</f>
        <v/>
      </c>
      <c r="Q46" s="5">
        <f>SUM(U46:U46)</f>
        <v/>
      </c>
      <c r="R46" s="5">
        <f>SUM(V46:V46)</f>
        <v/>
      </c>
      <c r="S46" s="11">
        <f>IF(ISNUMBER(K46),K46,IF(ISNUMBER(L46),-L46,""))</f>
        <v/>
      </c>
      <c r="T46">
        <f>IF(ISNUMBER(L46),L46,IF(ISNUMBER(K46),-K46,""))</f>
        <v/>
      </c>
      <c r="U46" s="11">
        <f>IF(ISNUMBER(S46),IF(ISNUMBER(S47),IF(S46&gt;S47,1.0,IF(S46=S47,0.5,0.0)),0.5),0.5)</f>
        <v/>
      </c>
      <c r="V46">
        <f>IF(ISNUMBER(T46),IF(ISNUMBER(T47),IF(T46&gt;T47,1.0,IF(T46=T47,0.5,0.0)),0.5),0.5)</f>
        <v/>
      </c>
      <c r="W46" s="11">
        <f>IF(AND(ISNUMBER(S46),ISNUMBER(S47)),VLOOKUP(ABS(S46-S47),'IMP Table'!$A$2:$C$26,3)*SIGN(S46-S47),0)</f>
        <v/>
      </c>
      <c r="X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AVERAGE(W47:W47)</f>
        <v/>
      </c>
      <c r="N47" s="18">
        <f>AVERAGE(X47:X47)</f>
        <v/>
      </c>
      <c r="O47" s="19">
        <f>IF(COUNT(U47:U47)&gt;0,Q47/COUNT(U47:U47),0.5)</f>
        <v/>
      </c>
      <c r="P47" s="19">
        <f>IF(COUNT(V47:V47)&gt;0,R47/COUNT(V47:V47),0.5)</f>
        <v/>
      </c>
      <c r="Q47" s="20">
        <f>SUM(U47:U47)</f>
        <v/>
      </c>
      <c r="R47" s="20">
        <f>SUM(V47:V47)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IF(ISNUMBER(S47),IF(ISNUMBER(S46),IF(S47&gt;S46,1.0,IF(S47=S46,0.5,0.0)),0.5),0.5)</f>
        <v/>
      </c>
      <c r="V47" s="15">
        <f>IF(ISNUMBER(T47),IF(ISNUMBER(T46),IF(T47&gt;T46,1.0,IF(T47=T46,0.5,0.0)),0.5),0.5)</f>
        <v/>
      </c>
      <c r="W47" s="21">
        <f>IF(AND(ISNUMBER(S47),ISNUMBER(S46)),VLOOKUP(ABS(S47-S46),'IMP Table'!$A$2:$C$26,3)*SIGN(S47-S46),0)</f>
        <v/>
      </c>
      <c r="X47" s="15">
        <f>IF(AND(ISNUMBER(T47),ISNUMBER(T46)),VLOOKUP(ABS(T47-T46),'IMP Table'!$A$2:$C$26,3)*SIGN(T47-T46),0)</f>
        <v/>
      </c>
      <c r="Y47" s="15" t="n"/>
      <c r="Z47" s="15" t="n"/>
      <c r="AA47" s="15" t="n"/>
      <c r="AB47" s="15" t="n"/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2026-09-06T17:18:36Z</dcterms:created>
  <dcterms:modified xsi:type="dcterms:W3CDTF">2026-09-06T17:18:36Z</dcterms:modified>
</cp:coreProperties>
</file>