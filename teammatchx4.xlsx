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IMP Table" sheetId="3" state="visible" r:id="rId3"/>
    <sheet name="V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0.0"/>
    <numFmt numFmtId="165" formatCode="#0.00"/>
    <numFmt numFmtId="166" formatCode="#0"/>
  </numFmts>
  <fonts count="4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i val="1"/>
      <color rgb="00FF000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164" fontId="3" fillId="0" borderId="0" pivotButton="0" quotePrefix="0" xfId="0"/>
    <xf numFmtId="164" fontId="3" fillId="0" borderId="1" pivotButton="0" quotePrefix="0" xfId="0"/>
    <xf numFmtId="0" fontId="3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164" fontId="0" fillId="0" borderId="3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For public domain. No rights reserved. Generated on Sep 06, 2026.</t>
        </is>
      </c>
    </row>
    <row r="2">
      <c r="A2" s="2" t="inlineStr">
        <is>
          <t>Team Match, 4 boards round</t>
        </is>
      </c>
    </row>
    <row r="3">
      <c r="A3" s="3" t="inlineStr">
        <is>
          <t>Matches</t>
        </is>
      </c>
      <c r="C3" s="3" t="n">
        <v>2</v>
      </c>
    </row>
    <row r="4">
      <c r="A4" s="3" t="inlineStr">
        <is>
          <t>Boards per Match</t>
        </is>
      </c>
      <c r="C4" s="3" t="n">
        <v>8</v>
      </c>
    </row>
    <row r="6">
      <c r="B6" s="2" t="inlineStr">
        <is>
          <t>Team 1</t>
        </is>
      </c>
    </row>
    <row r="7">
      <c r="A7" s="2" t="n">
        <v>1</v>
      </c>
      <c r="B7" t="inlineStr">
        <is>
          <t>Name 24</t>
        </is>
      </c>
      <c r="C7" t="inlineStr">
        <is>
          <t>Name 17</t>
        </is>
      </c>
    </row>
    <row r="8">
      <c r="A8" s="4" t="n">
        <v>2</v>
      </c>
      <c r="B8" s="5" t="inlineStr">
        <is>
          <t>Name 17</t>
        </is>
      </c>
      <c r="C8" s="5" t="inlineStr">
        <is>
          <t>Name 51</t>
        </is>
      </c>
    </row>
    <row r="11">
      <c r="B11" s="2" t="inlineStr">
        <is>
          <t>Team 2</t>
        </is>
      </c>
    </row>
    <row r="12">
      <c r="A12" s="2" t="n">
        <v>3</v>
      </c>
      <c r="B12" t="inlineStr">
        <is>
          <t>Name 63</t>
        </is>
      </c>
      <c r="C12" t="inlineStr">
        <is>
          <t>Name 30</t>
        </is>
      </c>
    </row>
    <row r="13">
      <c r="A13" s="4" t="n">
        <v>4</v>
      </c>
      <c r="B13" s="5" t="inlineStr">
        <is>
          <t>Name 48</t>
        </is>
      </c>
      <c r="C13" s="5" t="inlineStr">
        <is>
          <t>Name 41</t>
        </is>
      </c>
    </row>
    <row r="16">
      <c r="B16" s="2" t="inlineStr">
        <is>
          <t>IMP Summary</t>
        </is>
      </c>
      <c r="D16" s="2" t="inlineStr">
        <is>
          <t>VP Summary</t>
        </is>
      </c>
    </row>
    <row r="17">
      <c r="A17" s="2" t="inlineStr">
        <is>
          <t>Match</t>
        </is>
      </c>
      <c r="B17" s="2" t="inlineStr">
        <is>
          <t>Team 1</t>
        </is>
      </c>
      <c r="C17" s="2" t="inlineStr">
        <is>
          <t>Team 2</t>
        </is>
      </c>
      <c r="D17" s="2" t="inlineStr">
        <is>
          <t>Team 1</t>
        </is>
      </c>
      <c r="E17" s="2" t="inlineStr">
        <is>
          <t>Team 2</t>
        </is>
      </c>
    </row>
    <row r="18">
      <c r="A18" t="n">
        <v>1</v>
      </c>
      <c r="B18" s="6">
        <f>SUMIF('By Board'!D3:D18,"="&amp;A7,'By Board'!M3:M18)+SUMIF('By Board'!D3:D18,"="&amp;A8,'By Board'!M3:M18)</f>
        <v/>
      </c>
      <c r="C18" s="6">
        <f>SUMIF('By Board'!D3:D18,"="&amp;A12,'By Board'!M3:M18)+SUMIF('By Board'!D3:D18,"="&amp;A13,'By Board'!M3:M18)</f>
        <v/>
      </c>
      <c r="D18" s="6">
        <f>IF(B18&gt;=0,IF((10+10*((1-0.6180339887498949^(3*B18/42.42640687119285))/(1-0.6180339887498949^3)))&gt;=20,20,(10+10*((1-0.6180339887498949^(3*B18/42.42640687119285))/(1-0.6180339887498949^3)))),20-E18)</f>
        <v/>
      </c>
      <c r="E18" s="6">
        <f>IF(C18&gt;=0,IF((10+10*((1-0.6180339887498949^(3*C18/42.42640687119285))/(1-0.6180339887498949^3)))&gt;=20,20,(10+10*((1-0.6180339887498949^(3*C18/42.42640687119285))/(1-0.6180339887498949^3)))),20-D18)</f>
        <v/>
      </c>
    </row>
    <row r="19">
      <c r="A19" s="5" t="n">
        <v>2</v>
      </c>
      <c r="B19" s="7">
        <f>SUMIF('By Board'!D19:D34,"="&amp;A7,'By Board'!M19:M34)+SUMIF('By Board'!D19:D34,"="&amp;A8,'By Board'!M19:M34)</f>
        <v/>
      </c>
      <c r="C19" s="7">
        <f>SUMIF('By Board'!D19:D34,"="&amp;A12,'By Board'!M19:M34)+SUMIF('By Board'!D19:D34,"="&amp;A13,'By Board'!M19:M34)</f>
        <v/>
      </c>
      <c r="D19" s="7">
        <f>IF(B19&gt;=0,IF((10+10*((1-0.6180339887498949^(3*B19/42.42640687119285))/(1-0.6180339887498949^3)))&gt;=20,20,(10+10*((1-0.6180339887498949^(3*B19/42.42640687119285))/(1-0.6180339887498949^3)))),20-E19)</f>
        <v/>
      </c>
      <c r="E19" s="7">
        <f>IF(C19&gt;=0,IF((10+10*((1-0.6180339887498949^(3*C19/42.42640687119285))/(1-0.6180339887498949^3)))&gt;=20,20,(10+10*((1-0.6180339887498949^(3*C19/42.42640687119285))/(1-0.6180339887498949^3)))),20-D19)</f>
        <v/>
      </c>
    </row>
    <row r="20">
      <c r="B20" s="6">
        <f>SUM(B18:B19)</f>
        <v/>
      </c>
      <c r="C20" s="6">
        <f>SUM(C18:C19)</f>
        <v/>
      </c>
      <c r="D20" s="6">
        <f>SUM(D18:D19)</f>
        <v/>
      </c>
      <c r="E20" s="6">
        <f>SUM(E18:E19)</f>
        <v/>
      </c>
    </row>
  </sheetData>
  <mergeCells count="7">
    <mergeCell ref="A4:B4"/>
    <mergeCell ref="B6:C6"/>
    <mergeCell ref="D16:E16"/>
    <mergeCell ref="B16:C16"/>
    <mergeCell ref="A2:E2"/>
    <mergeCell ref="B11:C1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K1" s="8" t="inlineStr">
        <is>
          <t>Score</t>
        </is>
      </c>
      <c r="M1" s="8" t="inlineStr"/>
      <c r="N1" s="8" t="inlineStr">
        <is>
          <t>Net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9" t="inlineStr">
        <is>
          <t>NS</t>
        </is>
      </c>
      <c r="L2" s="2" t="inlineStr">
        <is>
          <t>EW</t>
        </is>
      </c>
      <c r="M2" s="9" t="inlineStr">
        <is>
          <t>IMP</t>
        </is>
      </c>
      <c r="N2" s="9" t="inlineStr">
        <is>
          <t>NS</t>
        </is>
      </c>
      <c r="O2" s="2" t="inlineStr">
        <is>
          <t>EW</t>
        </is>
      </c>
    </row>
    <row r="3">
      <c r="A3" s="10" t="n">
        <v>1</v>
      </c>
      <c r="B3" s="10" t="n">
        <v>1</v>
      </c>
      <c r="C3" s="10" t="n">
        <v>1</v>
      </c>
      <c r="D3" s="10" t="n">
        <v>1</v>
      </c>
      <c r="E3" s="10" t="n">
        <v>4</v>
      </c>
      <c r="F3" s="10" t="inlineStr">
        <is>
          <t>None</t>
        </is>
      </c>
      <c r="K3" s="11" t="n"/>
      <c r="M3" s="12">
        <f>IF(AND(ISNUMBER(N3),ISNUMBER(N4)),VLOOKUP(ABS(N3-N4),'IMP Table'!$A$2:$C$26,3)*SIGN(N3-N4),0)</f>
        <v/>
      </c>
      <c r="N3" s="12">
        <f>IF(ISNUMBER(K3),K3,IF(ISNUMBER(L3),-L3,""))</f>
        <v/>
      </c>
      <c r="O3">
        <f>IF(ISNUMBER(L3),L3,IF(ISNUMBER(K3),-K3,""))</f>
        <v/>
      </c>
    </row>
    <row r="4">
      <c r="A4" s="5" t="n"/>
      <c r="B4" s="13" t="n">
        <v>2</v>
      </c>
      <c r="C4" s="13" t="n">
        <v>2</v>
      </c>
      <c r="D4" s="13" t="n">
        <v>3</v>
      </c>
      <c r="E4" s="13" t="n">
        <v>2</v>
      </c>
      <c r="F4" s="13" t="inlineStr">
        <is>
          <t>None</t>
        </is>
      </c>
      <c r="G4" s="5" t="n"/>
      <c r="H4" s="5" t="n"/>
      <c r="I4" s="5" t="n"/>
      <c r="J4" s="5" t="n"/>
      <c r="K4" s="14" t="n"/>
      <c r="L4" s="5" t="n"/>
      <c r="M4" s="15">
        <f>IF(AND(ISNUMBER(N4),ISNUMBER(N3)),VLOOKUP(ABS(N4-N3),'IMP Table'!$A$2:$C$26,3)*SIGN(N4-N3),0)</f>
        <v/>
      </c>
      <c r="N4" s="15">
        <f>IF(ISNUMBER(K4),K4,IF(ISNUMBER(L4),-L4,""))</f>
        <v/>
      </c>
      <c r="O4" s="5">
        <f>IF(ISNUMBER(L4),L4,IF(ISNUMBER(K4),-K4,""))</f>
        <v/>
      </c>
    </row>
    <row r="5">
      <c r="A5" s="10" t="n">
        <v>2</v>
      </c>
      <c r="B5" s="10" t="n">
        <v>1</v>
      </c>
      <c r="C5" s="10" t="n">
        <v>1</v>
      </c>
      <c r="D5" s="10" t="n">
        <v>1</v>
      </c>
      <c r="E5" s="10" t="n">
        <v>4</v>
      </c>
      <c r="F5" s="10" t="inlineStr">
        <is>
          <t>NS</t>
        </is>
      </c>
      <c r="K5" s="11" t="n"/>
      <c r="M5" s="12">
        <f>IF(AND(ISNUMBER(N5),ISNUMBER(N6)),VLOOKUP(ABS(N5-N6),'IMP Table'!$A$2:$C$26,3)*SIGN(N5-N6),0)</f>
        <v/>
      </c>
      <c r="N5" s="12">
        <f>IF(ISNUMBER(K5),K5,IF(ISNUMBER(L5),-L5,""))</f>
        <v/>
      </c>
      <c r="O5">
        <f>IF(ISNUMBER(L5),L5,IF(ISNUMBER(K5),-K5,""))</f>
        <v/>
      </c>
    </row>
    <row r="6">
      <c r="A6" s="5" t="n"/>
      <c r="B6" s="13" t="n">
        <v>2</v>
      </c>
      <c r="C6" s="13" t="n">
        <v>2</v>
      </c>
      <c r="D6" s="13" t="n">
        <v>3</v>
      </c>
      <c r="E6" s="13" t="n">
        <v>2</v>
      </c>
      <c r="F6" s="13" t="inlineStr">
        <is>
          <t>NS</t>
        </is>
      </c>
      <c r="G6" s="5" t="n"/>
      <c r="H6" s="5" t="n"/>
      <c r="I6" s="5" t="n"/>
      <c r="J6" s="5" t="n"/>
      <c r="K6" s="14" t="n"/>
      <c r="L6" s="5" t="n"/>
      <c r="M6" s="15">
        <f>IF(AND(ISNUMBER(N6),ISNUMBER(N5)),VLOOKUP(ABS(N6-N5),'IMP Table'!$A$2:$C$26,3)*SIGN(N6-N5),0)</f>
        <v/>
      </c>
      <c r="N6" s="15">
        <f>IF(ISNUMBER(K6),K6,IF(ISNUMBER(L6),-L6,""))</f>
        <v/>
      </c>
      <c r="O6" s="5">
        <f>IF(ISNUMBER(L6),L6,IF(ISNUMBER(K6),-K6,""))</f>
        <v/>
      </c>
    </row>
    <row r="7">
      <c r="A7" s="10" t="n">
        <v>3</v>
      </c>
      <c r="B7" s="10" t="n">
        <v>1</v>
      </c>
      <c r="C7" s="10" t="n">
        <v>1</v>
      </c>
      <c r="D7" s="10" t="n">
        <v>1</v>
      </c>
      <c r="E7" s="10" t="n">
        <v>4</v>
      </c>
      <c r="F7" s="10" t="inlineStr">
        <is>
          <t>EW</t>
        </is>
      </c>
      <c r="K7" s="11" t="n"/>
      <c r="M7" s="12">
        <f>IF(AND(ISNUMBER(N7),ISNUMBER(N8)),VLOOKUP(ABS(N7-N8),'IMP Table'!$A$2:$C$26,3)*SIGN(N7-N8),0)</f>
        <v/>
      </c>
      <c r="N7" s="12">
        <f>IF(ISNUMBER(K7),K7,IF(ISNUMBER(L7),-L7,""))</f>
        <v/>
      </c>
      <c r="O7">
        <f>IF(ISNUMBER(L7),L7,IF(ISNUMBER(K7),-K7,""))</f>
        <v/>
      </c>
    </row>
    <row r="8">
      <c r="A8" s="5" t="n"/>
      <c r="B8" s="13" t="n">
        <v>2</v>
      </c>
      <c r="C8" s="13" t="n">
        <v>2</v>
      </c>
      <c r="D8" s="13" t="n">
        <v>3</v>
      </c>
      <c r="E8" s="13" t="n">
        <v>2</v>
      </c>
      <c r="F8" s="13" t="inlineStr">
        <is>
          <t>EW</t>
        </is>
      </c>
      <c r="G8" s="5" t="n"/>
      <c r="H8" s="5" t="n"/>
      <c r="I8" s="5" t="n"/>
      <c r="J8" s="5" t="n"/>
      <c r="K8" s="14" t="n"/>
      <c r="L8" s="5" t="n"/>
      <c r="M8" s="15">
        <f>IF(AND(ISNUMBER(N8),ISNUMBER(N7)),VLOOKUP(ABS(N8-N7),'IMP Table'!$A$2:$C$26,3)*SIGN(N8-N7),0)</f>
        <v/>
      </c>
      <c r="N8" s="15">
        <f>IF(ISNUMBER(K8),K8,IF(ISNUMBER(L8),-L8,""))</f>
        <v/>
      </c>
      <c r="O8" s="5">
        <f>IF(ISNUMBER(L8),L8,IF(ISNUMBER(K8),-K8,""))</f>
        <v/>
      </c>
    </row>
    <row r="9">
      <c r="A9" s="10" t="n">
        <v>4</v>
      </c>
      <c r="B9" s="10" t="n">
        <v>1</v>
      </c>
      <c r="C9" s="10" t="n">
        <v>1</v>
      </c>
      <c r="D9" s="10" t="n">
        <v>1</v>
      </c>
      <c r="E9" s="10" t="n">
        <v>4</v>
      </c>
      <c r="F9" s="10" t="inlineStr">
        <is>
          <t>Both</t>
        </is>
      </c>
      <c r="K9" s="11" t="n"/>
      <c r="M9" s="12">
        <f>IF(AND(ISNUMBER(N9),ISNUMBER(N10)),VLOOKUP(ABS(N9-N10),'IMP Table'!$A$2:$C$26,3)*SIGN(N9-N10),0)</f>
        <v/>
      </c>
      <c r="N9" s="12">
        <f>IF(ISNUMBER(K9),K9,IF(ISNUMBER(L9),-L9,""))</f>
        <v/>
      </c>
      <c r="O9">
        <f>IF(ISNUMBER(L9),L9,IF(ISNUMBER(K9),-K9,""))</f>
        <v/>
      </c>
    </row>
    <row r="10">
      <c r="A10" s="5" t="n"/>
      <c r="B10" s="13" t="n">
        <v>2</v>
      </c>
      <c r="C10" s="13" t="n">
        <v>2</v>
      </c>
      <c r="D10" s="13" t="n">
        <v>3</v>
      </c>
      <c r="E10" s="13" t="n">
        <v>2</v>
      </c>
      <c r="F10" s="13" t="inlineStr">
        <is>
          <t>Both</t>
        </is>
      </c>
      <c r="G10" s="5" t="n"/>
      <c r="H10" s="5" t="n"/>
      <c r="I10" s="5" t="n"/>
      <c r="J10" s="5" t="n"/>
      <c r="K10" s="14" t="n"/>
      <c r="L10" s="5" t="n"/>
      <c r="M10" s="15">
        <f>IF(AND(ISNUMBER(N10),ISNUMBER(N9)),VLOOKUP(ABS(N10-N9),'IMP Table'!$A$2:$C$26,3)*SIGN(N10-N9),0)</f>
        <v/>
      </c>
      <c r="N10" s="15">
        <f>IF(ISNUMBER(K10),K10,IF(ISNUMBER(L10),-L10,""))</f>
        <v/>
      </c>
      <c r="O10" s="5">
        <f>IF(ISNUMBER(L10),L10,IF(ISNUMBER(K10),-K10,""))</f>
        <v/>
      </c>
    </row>
    <row r="11">
      <c r="A11" s="10" t="n">
        <v>5</v>
      </c>
      <c r="B11" s="10" t="n">
        <v>2</v>
      </c>
      <c r="C11" s="10" t="n">
        <v>1</v>
      </c>
      <c r="D11" s="10" t="n">
        <v>1</v>
      </c>
      <c r="E11" s="10" t="n">
        <v>4</v>
      </c>
      <c r="F11" s="10" t="inlineStr">
        <is>
          <t>NS</t>
        </is>
      </c>
      <c r="K11" s="11" t="n"/>
      <c r="M11" s="12">
        <f>IF(AND(ISNUMBER(N11),ISNUMBER(N12)),VLOOKUP(ABS(N11-N12),'IMP Table'!$A$2:$C$26,3)*SIGN(N11-N12),0)</f>
        <v/>
      </c>
      <c r="N11" s="12">
        <f>IF(ISNUMBER(K11),K11,IF(ISNUMBER(L11),-L11,""))</f>
        <v/>
      </c>
      <c r="O11">
        <f>IF(ISNUMBER(L11),L11,IF(ISNUMBER(K11),-K11,""))</f>
        <v/>
      </c>
    </row>
    <row r="12">
      <c r="A12" s="5" t="n"/>
      <c r="B12" s="13" t="n">
        <v>1</v>
      </c>
      <c r="C12" s="13" t="n">
        <v>2</v>
      </c>
      <c r="D12" s="13" t="n">
        <v>3</v>
      </c>
      <c r="E12" s="13" t="n">
        <v>2</v>
      </c>
      <c r="F12" s="13" t="inlineStr">
        <is>
          <t>NS</t>
        </is>
      </c>
      <c r="G12" s="5" t="n"/>
      <c r="H12" s="5" t="n"/>
      <c r="I12" s="5" t="n"/>
      <c r="J12" s="5" t="n"/>
      <c r="K12" s="14" t="n"/>
      <c r="L12" s="5" t="n"/>
      <c r="M12" s="15">
        <f>IF(AND(ISNUMBER(N12),ISNUMBER(N11)),VLOOKUP(ABS(N12-N11),'IMP Table'!$A$2:$C$26,3)*SIGN(N12-N11),0)</f>
        <v/>
      </c>
      <c r="N12" s="15">
        <f>IF(ISNUMBER(K12),K12,IF(ISNUMBER(L12),-L12,""))</f>
        <v/>
      </c>
      <c r="O12" s="5">
        <f>IF(ISNUMBER(L12),L12,IF(ISNUMBER(K12),-K12,""))</f>
        <v/>
      </c>
    </row>
    <row r="13">
      <c r="A13" s="10" t="n">
        <v>6</v>
      </c>
      <c r="B13" s="10" t="n">
        <v>2</v>
      </c>
      <c r="C13" s="10" t="n">
        <v>1</v>
      </c>
      <c r="D13" s="10" t="n">
        <v>1</v>
      </c>
      <c r="E13" s="10" t="n">
        <v>4</v>
      </c>
      <c r="F13" s="10" t="inlineStr">
        <is>
          <t>EW</t>
        </is>
      </c>
      <c r="K13" s="11" t="n"/>
      <c r="M13" s="12">
        <f>IF(AND(ISNUMBER(N13),ISNUMBER(N14)),VLOOKUP(ABS(N13-N14),'IMP Table'!$A$2:$C$26,3)*SIGN(N13-N14),0)</f>
        <v/>
      </c>
      <c r="N13" s="12">
        <f>IF(ISNUMBER(K13),K13,IF(ISNUMBER(L13),-L13,""))</f>
        <v/>
      </c>
      <c r="O13">
        <f>IF(ISNUMBER(L13),L13,IF(ISNUMBER(K13),-K13,""))</f>
        <v/>
      </c>
    </row>
    <row r="14">
      <c r="A14" s="5" t="n"/>
      <c r="B14" s="13" t="n">
        <v>1</v>
      </c>
      <c r="C14" s="13" t="n">
        <v>2</v>
      </c>
      <c r="D14" s="13" t="n">
        <v>3</v>
      </c>
      <c r="E14" s="13" t="n">
        <v>2</v>
      </c>
      <c r="F14" s="13" t="inlineStr">
        <is>
          <t>EW</t>
        </is>
      </c>
      <c r="G14" s="5" t="n"/>
      <c r="H14" s="5" t="n"/>
      <c r="I14" s="5" t="n"/>
      <c r="J14" s="5" t="n"/>
      <c r="K14" s="14" t="n"/>
      <c r="L14" s="5" t="n"/>
      <c r="M14" s="15">
        <f>IF(AND(ISNUMBER(N14),ISNUMBER(N13)),VLOOKUP(ABS(N14-N13),'IMP Table'!$A$2:$C$26,3)*SIGN(N14-N13),0)</f>
        <v/>
      </c>
      <c r="N14" s="15">
        <f>IF(ISNUMBER(K14),K14,IF(ISNUMBER(L14),-L14,""))</f>
        <v/>
      </c>
      <c r="O14" s="5">
        <f>IF(ISNUMBER(L14),L14,IF(ISNUMBER(K14),-K14,""))</f>
        <v/>
      </c>
    </row>
    <row r="15">
      <c r="A15" s="10" t="n">
        <v>7</v>
      </c>
      <c r="B15" s="10" t="n">
        <v>2</v>
      </c>
      <c r="C15" s="10" t="n">
        <v>1</v>
      </c>
      <c r="D15" s="10" t="n">
        <v>1</v>
      </c>
      <c r="E15" s="10" t="n">
        <v>4</v>
      </c>
      <c r="F15" s="10" t="inlineStr">
        <is>
          <t>Both</t>
        </is>
      </c>
      <c r="K15" s="11" t="n"/>
      <c r="M15" s="12">
        <f>IF(AND(ISNUMBER(N15),ISNUMBER(N16)),VLOOKUP(ABS(N15-N16),'IMP Table'!$A$2:$C$26,3)*SIGN(N15-N16),0)</f>
        <v/>
      </c>
      <c r="N15" s="12">
        <f>IF(ISNUMBER(K15),K15,IF(ISNUMBER(L15),-L15,""))</f>
        <v/>
      </c>
      <c r="O15">
        <f>IF(ISNUMBER(L15),L15,IF(ISNUMBER(K15),-K15,""))</f>
        <v/>
      </c>
    </row>
    <row r="16">
      <c r="A16" s="5" t="n"/>
      <c r="B16" s="13" t="n">
        <v>1</v>
      </c>
      <c r="C16" s="13" t="n">
        <v>2</v>
      </c>
      <c r="D16" s="13" t="n">
        <v>3</v>
      </c>
      <c r="E16" s="13" t="n">
        <v>2</v>
      </c>
      <c r="F16" s="13" t="inlineStr">
        <is>
          <t>Both</t>
        </is>
      </c>
      <c r="G16" s="5" t="n"/>
      <c r="H16" s="5" t="n"/>
      <c r="I16" s="5" t="n"/>
      <c r="J16" s="5" t="n"/>
      <c r="K16" s="14" t="n"/>
      <c r="L16" s="5" t="n"/>
      <c r="M16" s="15">
        <f>IF(AND(ISNUMBER(N16),ISNUMBER(N15)),VLOOKUP(ABS(N16-N15),'IMP Table'!$A$2:$C$26,3)*SIGN(N16-N15),0)</f>
        <v/>
      </c>
      <c r="N16" s="15">
        <f>IF(ISNUMBER(K16),K16,IF(ISNUMBER(L16),-L16,""))</f>
        <v/>
      </c>
      <c r="O16" s="5">
        <f>IF(ISNUMBER(L16),L16,IF(ISNUMBER(K16),-K16,""))</f>
        <v/>
      </c>
    </row>
    <row r="17">
      <c r="A17" s="10" t="n">
        <v>8</v>
      </c>
      <c r="B17" s="10" t="n">
        <v>2</v>
      </c>
      <c r="C17" s="10" t="n">
        <v>1</v>
      </c>
      <c r="D17" s="10" t="n">
        <v>1</v>
      </c>
      <c r="E17" s="10" t="n">
        <v>4</v>
      </c>
      <c r="F17" s="10" t="inlineStr">
        <is>
          <t>None</t>
        </is>
      </c>
      <c r="K17" s="11" t="n"/>
      <c r="M17" s="12">
        <f>IF(AND(ISNUMBER(N17),ISNUMBER(N18)),VLOOKUP(ABS(N17-N18),'IMP Table'!$A$2:$C$26,3)*SIGN(N17-N18),0)</f>
        <v/>
      </c>
      <c r="N17" s="12">
        <f>IF(ISNUMBER(K17),K17,IF(ISNUMBER(L17),-L17,""))</f>
        <v/>
      </c>
      <c r="O17">
        <f>IF(ISNUMBER(L17),L17,IF(ISNUMBER(K17),-K17,""))</f>
        <v/>
      </c>
    </row>
    <row r="18">
      <c r="A18" s="5" t="n"/>
      <c r="B18" s="13" t="n">
        <v>1</v>
      </c>
      <c r="C18" s="13" t="n">
        <v>2</v>
      </c>
      <c r="D18" s="13" t="n">
        <v>3</v>
      </c>
      <c r="E18" s="13" t="n">
        <v>2</v>
      </c>
      <c r="F18" s="13" t="inlineStr">
        <is>
          <t>None</t>
        </is>
      </c>
      <c r="G18" s="5" t="n"/>
      <c r="H18" s="5" t="n"/>
      <c r="I18" s="5" t="n"/>
      <c r="J18" s="5" t="n"/>
      <c r="K18" s="14" t="n"/>
      <c r="L18" s="5" t="n"/>
      <c r="M18" s="15">
        <f>IF(AND(ISNUMBER(N18),ISNUMBER(N17)),VLOOKUP(ABS(N18-N17),'IMP Table'!$A$2:$C$26,3)*SIGN(N18-N17),0)</f>
        <v/>
      </c>
      <c r="N18" s="15">
        <f>IF(ISNUMBER(K18),K18,IF(ISNUMBER(L18),-L18,""))</f>
        <v/>
      </c>
      <c r="O18" s="5">
        <f>IF(ISNUMBER(L18),L18,IF(ISNUMBER(K18),-K18,""))</f>
        <v/>
      </c>
    </row>
    <row r="19">
      <c r="A19" s="10" t="n">
        <v>9</v>
      </c>
      <c r="B19" s="10" t="n">
        <v>3</v>
      </c>
      <c r="C19" s="10" t="n">
        <v>1</v>
      </c>
      <c r="D19" s="10" t="n">
        <v>1</v>
      </c>
      <c r="E19" s="10" t="n">
        <v>3</v>
      </c>
      <c r="F19" s="10" t="inlineStr">
        <is>
          <t>EW</t>
        </is>
      </c>
      <c r="K19" s="11" t="n"/>
      <c r="M19" s="12">
        <f>IF(AND(ISNUMBER(N19),ISNUMBER(N20)),VLOOKUP(ABS(N19-N20),'IMP Table'!$A$2:$C$26,3)*SIGN(N19-N20),0)</f>
        <v/>
      </c>
      <c r="N19" s="12">
        <f>IF(ISNUMBER(K19),K19,IF(ISNUMBER(L19),-L19,""))</f>
        <v/>
      </c>
      <c r="O19">
        <f>IF(ISNUMBER(L19),L19,IF(ISNUMBER(K19),-K19,""))</f>
        <v/>
      </c>
    </row>
    <row r="20">
      <c r="A20" s="5" t="n"/>
      <c r="B20" s="13" t="n">
        <v>4</v>
      </c>
      <c r="C20" s="13" t="n">
        <v>2</v>
      </c>
      <c r="D20" s="13" t="n">
        <v>4</v>
      </c>
      <c r="E20" s="13" t="n">
        <v>2</v>
      </c>
      <c r="F20" s="13" t="inlineStr">
        <is>
          <t>EW</t>
        </is>
      </c>
      <c r="G20" s="5" t="n"/>
      <c r="H20" s="5" t="n"/>
      <c r="I20" s="5" t="n"/>
      <c r="J20" s="5" t="n"/>
      <c r="K20" s="14" t="n"/>
      <c r="L20" s="5" t="n"/>
      <c r="M20" s="15">
        <f>IF(AND(ISNUMBER(N20),ISNUMBER(N19)),VLOOKUP(ABS(N20-N19),'IMP Table'!$A$2:$C$26,3)*SIGN(N20-N19),0)</f>
        <v/>
      </c>
      <c r="N20" s="15">
        <f>IF(ISNUMBER(K20),K20,IF(ISNUMBER(L20),-L20,""))</f>
        <v/>
      </c>
      <c r="O20" s="5">
        <f>IF(ISNUMBER(L20),L20,IF(ISNUMBER(K20),-K20,""))</f>
        <v/>
      </c>
    </row>
    <row r="21">
      <c r="A21" s="10" t="n">
        <v>10</v>
      </c>
      <c r="B21" s="10" t="n">
        <v>3</v>
      </c>
      <c r="C21" s="10" t="n">
        <v>1</v>
      </c>
      <c r="D21" s="10" t="n">
        <v>1</v>
      </c>
      <c r="E21" s="10" t="n">
        <v>3</v>
      </c>
      <c r="F21" s="10" t="inlineStr">
        <is>
          <t>Both</t>
        </is>
      </c>
      <c r="K21" s="11" t="n"/>
      <c r="M21" s="12">
        <f>IF(AND(ISNUMBER(N21),ISNUMBER(N22)),VLOOKUP(ABS(N21-N22),'IMP Table'!$A$2:$C$26,3)*SIGN(N21-N22),0)</f>
        <v/>
      </c>
      <c r="N21" s="12">
        <f>IF(ISNUMBER(K21),K21,IF(ISNUMBER(L21),-L21,""))</f>
        <v/>
      </c>
      <c r="O21">
        <f>IF(ISNUMBER(L21),L21,IF(ISNUMBER(K21),-K21,""))</f>
        <v/>
      </c>
    </row>
    <row r="22">
      <c r="A22" s="5" t="n"/>
      <c r="B22" s="13" t="n">
        <v>4</v>
      </c>
      <c r="C22" s="13" t="n">
        <v>2</v>
      </c>
      <c r="D22" s="13" t="n">
        <v>4</v>
      </c>
      <c r="E22" s="13" t="n">
        <v>2</v>
      </c>
      <c r="F22" s="13" t="inlineStr">
        <is>
          <t>Both</t>
        </is>
      </c>
      <c r="G22" s="5" t="n"/>
      <c r="H22" s="5" t="n"/>
      <c r="I22" s="5" t="n"/>
      <c r="J22" s="5" t="n"/>
      <c r="K22" s="14" t="n"/>
      <c r="L22" s="5" t="n"/>
      <c r="M22" s="15">
        <f>IF(AND(ISNUMBER(N22),ISNUMBER(N21)),VLOOKUP(ABS(N22-N21),'IMP Table'!$A$2:$C$26,3)*SIGN(N22-N21),0)</f>
        <v/>
      </c>
      <c r="N22" s="15">
        <f>IF(ISNUMBER(K22),K22,IF(ISNUMBER(L22),-L22,""))</f>
        <v/>
      </c>
      <c r="O22" s="5">
        <f>IF(ISNUMBER(L22),L22,IF(ISNUMBER(K22),-K22,""))</f>
        <v/>
      </c>
    </row>
    <row r="23">
      <c r="A23" s="10" t="n">
        <v>11</v>
      </c>
      <c r="B23" s="10" t="n">
        <v>3</v>
      </c>
      <c r="C23" s="10" t="n">
        <v>1</v>
      </c>
      <c r="D23" s="10" t="n">
        <v>1</v>
      </c>
      <c r="E23" s="10" t="n">
        <v>3</v>
      </c>
      <c r="F23" s="10" t="inlineStr">
        <is>
          <t>None</t>
        </is>
      </c>
      <c r="K23" s="11" t="n"/>
      <c r="M23" s="12">
        <f>IF(AND(ISNUMBER(N23),ISNUMBER(N24)),VLOOKUP(ABS(N23-N24),'IMP Table'!$A$2:$C$26,3)*SIGN(N23-N24),0)</f>
        <v/>
      </c>
      <c r="N23" s="12">
        <f>IF(ISNUMBER(K23),K23,IF(ISNUMBER(L23),-L23,""))</f>
        <v/>
      </c>
      <c r="O23">
        <f>IF(ISNUMBER(L23),L23,IF(ISNUMBER(K23),-K23,""))</f>
        <v/>
      </c>
    </row>
    <row r="24">
      <c r="A24" s="5" t="n"/>
      <c r="B24" s="13" t="n">
        <v>4</v>
      </c>
      <c r="C24" s="13" t="n">
        <v>2</v>
      </c>
      <c r="D24" s="13" t="n">
        <v>4</v>
      </c>
      <c r="E24" s="13" t="n">
        <v>2</v>
      </c>
      <c r="F24" s="13" t="inlineStr">
        <is>
          <t>None</t>
        </is>
      </c>
      <c r="G24" s="5" t="n"/>
      <c r="H24" s="5" t="n"/>
      <c r="I24" s="5" t="n"/>
      <c r="J24" s="5" t="n"/>
      <c r="K24" s="14" t="n"/>
      <c r="L24" s="5" t="n"/>
      <c r="M24" s="15">
        <f>IF(AND(ISNUMBER(N24),ISNUMBER(N23)),VLOOKUP(ABS(N24-N23),'IMP Table'!$A$2:$C$26,3)*SIGN(N24-N23),0)</f>
        <v/>
      </c>
      <c r="N24" s="15">
        <f>IF(ISNUMBER(K24),K24,IF(ISNUMBER(L24),-L24,""))</f>
        <v/>
      </c>
      <c r="O24" s="5">
        <f>IF(ISNUMBER(L24),L24,IF(ISNUMBER(K24),-K24,""))</f>
        <v/>
      </c>
    </row>
    <row r="25">
      <c r="A25" s="10" t="n">
        <v>12</v>
      </c>
      <c r="B25" s="10" t="n">
        <v>3</v>
      </c>
      <c r="C25" s="10" t="n">
        <v>1</v>
      </c>
      <c r="D25" s="10" t="n">
        <v>1</v>
      </c>
      <c r="E25" s="10" t="n">
        <v>3</v>
      </c>
      <c r="F25" s="10" t="inlineStr">
        <is>
          <t>NS</t>
        </is>
      </c>
      <c r="K25" s="11" t="n"/>
      <c r="M25" s="12">
        <f>IF(AND(ISNUMBER(N25),ISNUMBER(N26)),VLOOKUP(ABS(N25-N26),'IMP Table'!$A$2:$C$26,3)*SIGN(N25-N26),0)</f>
        <v/>
      </c>
      <c r="N25" s="12">
        <f>IF(ISNUMBER(K25),K25,IF(ISNUMBER(L25),-L25,""))</f>
        <v/>
      </c>
      <c r="O25">
        <f>IF(ISNUMBER(L25),L25,IF(ISNUMBER(K25),-K25,""))</f>
        <v/>
      </c>
    </row>
    <row r="26">
      <c r="A26" s="5" t="n"/>
      <c r="B26" s="13" t="n">
        <v>4</v>
      </c>
      <c r="C26" s="13" t="n">
        <v>2</v>
      </c>
      <c r="D26" s="13" t="n">
        <v>4</v>
      </c>
      <c r="E26" s="13" t="n">
        <v>2</v>
      </c>
      <c r="F26" s="13" t="inlineStr">
        <is>
          <t>NS</t>
        </is>
      </c>
      <c r="G26" s="5" t="n"/>
      <c r="H26" s="5" t="n"/>
      <c r="I26" s="5" t="n"/>
      <c r="J26" s="5" t="n"/>
      <c r="K26" s="14" t="n"/>
      <c r="L26" s="5" t="n"/>
      <c r="M26" s="15">
        <f>IF(AND(ISNUMBER(N26),ISNUMBER(N25)),VLOOKUP(ABS(N26-N25),'IMP Table'!$A$2:$C$26,3)*SIGN(N26-N25),0)</f>
        <v/>
      </c>
      <c r="N26" s="15">
        <f>IF(ISNUMBER(K26),K26,IF(ISNUMBER(L26),-L26,""))</f>
        <v/>
      </c>
      <c r="O26" s="5">
        <f>IF(ISNUMBER(L26),L26,IF(ISNUMBER(K26),-K26,""))</f>
        <v/>
      </c>
    </row>
    <row r="27">
      <c r="A27" s="10" t="n">
        <v>13</v>
      </c>
      <c r="B27" s="10" t="n">
        <v>4</v>
      </c>
      <c r="C27" s="10" t="n">
        <v>1</v>
      </c>
      <c r="D27" s="10" t="n">
        <v>1</v>
      </c>
      <c r="E27" s="10" t="n">
        <v>3</v>
      </c>
      <c r="F27" s="10" t="inlineStr">
        <is>
          <t>Both</t>
        </is>
      </c>
      <c r="K27" s="11" t="n"/>
      <c r="M27" s="12">
        <f>IF(AND(ISNUMBER(N27),ISNUMBER(N28)),VLOOKUP(ABS(N27-N28),'IMP Table'!$A$2:$C$26,3)*SIGN(N27-N28),0)</f>
        <v/>
      </c>
      <c r="N27" s="12">
        <f>IF(ISNUMBER(K27),K27,IF(ISNUMBER(L27),-L27,""))</f>
        <v/>
      </c>
      <c r="O27">
        <f>IF(ISNUMBER(L27),L27,IF(ISNUMBER(K27),-K27,""))</f>
        <v/>
      </c>
    </row>
    <row r="28">
      <c r="A28" s="5" t="n"/>
      <c r="B28" s="13" t="n">
        <v>3</v>
      </c>
      <c r="C28" s="13" t="n">
        <v>2</v>
      </c>
      <c r="D28" s="13" t="n">
        <v>4</v>
      </c>
      <c r="E28" s="13" t="n">
        <v>2</v>
      </c>
      <c r="F28" s="13" t="inlineStr">
        <is>
          <t>Both</t>
        </is>
      </c>
      <c r="G28" s="5" t="n"/>
      <c r="H28" s="5" t="n"/>
      <c r="I28" s="5" t="n"/>
      <c r="J28" s="5" t="n"/>
      <c r="K28" s="14" t="n"/>
      <c r="L28" s="5" t="n"/>
      <c r="M28" s="15">
        <f>IF(AND(ISNUMBER(N28),ISNUMBER(N27)),VLOOKUP(ABS(N28-N27),'IMP Table'!$A$2:$C$26,3)*SIGN(N28-N27),0)</f>
        <v/>
      </c>
      <c r="N28" s="15">
        <f>IF(ISNUMBER(K28),K28,IF(ISNUMBER(L28),-L28,""))</f>
        <v/>
      </c>
      <c r="O28" s="5">
        <f>IF(ISNUMBER(L28),L28,IF(ISNUMBER(K28),-K28,""))</f>
        <v/>
      </c>
    </row>
    <row r="29">
      <c r="A29" s="10" t="n">
        <v>14</v>
      </c>
      <c r="B29" s="10" t="n">
        <v>4</v>
      </c>
      <c r="C29" s="10" t="n">
        <v>1</v>
      </c>
      <c r="D29" s="10" t="n">
        <v>1</v>
      </c>
      <c r="E29" s="10" t="n">
        <v>3</v>
      </c>
      <c r="F29" s="10" t="inlineStr">
        <is>
          <t>None</t>
        </is>
      </c>
      <c r="K29" s="11" t="n"/>
      <c r="M29" s="12">
        <f>IF(AND(ISNUMBER(N29),ISNUMBER(N30)),VLOOKUP(ABS(N29-N30),'IMP Table'!$A$2:$C$26,3)*SIGN(N29-N30),0)</f>
        <v/>
      </c>
      <c r="N29" s="12">
        <f>IF(ISNUMBER(K29),K29,IF(ISNUMBER(L29),-L29,""))</f>
        <v/>
      </c>
      <c r="O29">
        <f>IF(ISNUMBER(L29),L29,IF(ISNUMBER(K29),-K29,""))</f>
        <v/>
      </c>
    </row>
    <row r="30">
      <c r="A30" s="5" t="n"/>
      <c r="B30" s="13" t="n">
        <v>3</v>
      </c>
      <c r="C30" s="13" t="n">
        <v>2</v>
      </c>
      <c r="D30" s="13" t="n">
        <v>4</v>
      </c>
      <c r="E30" s="13" t="n">
        <v>2</v>
      </c>
      <c r="F30" s="13" t="inlineStr">
        <is>
          <t>None</t>
        </is>
      </c>
      <c r="G30" s="5" t="n"/>
      <c r="H30" s="5" t="n"/>
      <c r="I30" s="5" t="n"/>
      <c r="J30" s="5" t="n"/>
      <c r="K30" s="14" t="n"/>
      <c r="L30" s="5" t="n"/>
      <c r="M30" s="15">
        <f>IF(AND(ISNUMBER(N30),ISNUMBER(N29)),VLOOKUP(ABS(N30-N29),'IMP Table'!$A$2:$C$26,3)*SIGN(N30-N29),0)</f>
        <v/>
      </c>
      <c r="N30" s="15">
        <f>IF(ISNUMBER(K30),K30,IF(ISNUMBER(L30),-L30,""))</f>
        <v/>
      </c>
      <c r="O30" s="5">
        <f>IF(ISNUMBER(L30),L30,IF(ISNUMBER(K30),-K30,""))</f>
        <v/>
      </c>
    </row>
    <row r="31">
      <c r="A31" s="10" t="n">
        <v>15</v>
      </c>
      <c r="B31" s="10" t="n">
        <v>4</v>
      </c>
      <c r="C31" s="10" t="n">
        <v>1</v>
      </c>
      <c r="D31" s="10" t="n">
        <v>1</v>
      </c>
      <c r="E31" s="10" t="n">
        <v>3</v>
      </c>
      <c r="F31" s="10" t="inlineStr">
        <is>
          <t>NS</t>
        </is>
      </c>
      <c r="K31" s="11" t="n"/>
      <c r="M31" s="12">
        <f>IF(AND(ISNUMBER(N31),ISNUMBER(N32)),VLOOKUP(ABS(N31-N32),'IMP Table'!$A$2:$C$26,3)*SIGN(N31-N32),0)</f>
        <v/>
      </c>
      <c r="N31" s="12">
        <f>IF(ISNUMBER(K31),K31,IF(ISNUMBER(L31),-L31,""))</f>
        <v/>
      </c>
      <c r="O31">
        <f>IF(ISNUMBER(L31),L31,IF(ISNUMBER(K31),-K31,""))</f>
        <v/>
      </c>
    </row>
    <row r="32">
      <c r="A32" s="5" t="n"/>
      <c r="B32" s="13" t="n">
        <v>3</v>
      </c>
      <c r="C32" s="13" t="n">
        <v>2</v>
      </c>
      <c r="D32" s="13" t="n">
        <v>4</v>
      </c>
      <c r="E32" s="13" t="n">
        <v>2</v>
      </c>
      <c r="F32" s="13" t="inlineStr">
        <is>
          <t>NS</t>
        </is>
      </c>
      <c r="G32" s="5" t="n"/>
      <c r="H32" s="5" t="n"/>
      <c r="I32" s="5" t="n"/>
      <c r="J32" s="5" t="n"/>
      <c r="K32" s="14" t="n"/>
      <c r="L32" s="5" t="n"/>
      <c r="M32" s="15">
        <f>IF(AND(ISNUMBER(N32),ISNUMBER(N31)),VLOOKUP(ABS(N32-N31),'IMP Table'!$A$2:$C$26,3)*SIGN(N32-N31),0)</f>
        <v/>
      </c>
      <c r="N32" s="15">
        <f>IF(ISNUMBER(K32),K32,IF(ISNUMBER(L32),-L32,""))</f>
        <v/>
      </c>
      <c r="O32" s="5">
        <f>IF(ISNUMBER(L32),L32,IF(ISNUMBER(K32),-K32,""))</f>
        <v/>
      </c>
    </row>
    <row r="33">
      <c r="A33" s="10" t="n">
        <v>16</v>
      </c>
      <c r="B33" s="10" t="n">
        <v>4</v>
      </c>
      <c r="C33" s="10" t="n">
        <v>1</v>
      </c>
      <c r="D33" s="10" t="n">
        <v>1</v>
      </c>
      <c r="E33" s="10" t="n">
        <v>3</v>
      </c>
      <c r="F33" s="10" t="inlineStr">
        <is>
          <t>EW</t>
        </is>
      </c>
      <c r="K33" s="11" t="n"/>
      <c r="M33" s="12">
        <f>IF(AND(ISNUMBER(N33),ISNUMBER(N34)),VLOOKUP(ABS(N33-N34),'IMP Table'!$A$2:$C$26,3)*SIGN(N33-N34),0)</f>
        <v/>
      </c>
      <c r="N33" s="12">
        <f>IF(ISNUMBER(K33),K33,IF(ISNUMBER(L33),-L33,""))</f>
        <v/>
      </c>
      <c r="O33">
        <f>IF(ISNUMBER(L33),L33,IF(ISNUMBER(K33),-K33,""))</f>
        <v/>
      </c>
    </row>
    <row r="34">
      <c r="A34" s="5" t="n"/>
      <c r="B34" s="13" t="n">
        <v>3</v>
      </c>
      <c r="C34" s="13" t="n">
        <v>2</v>
      </c>
      <c r="D34" s="13" t="n">
        <v>4</v>
      </c>
      <c r="E34" s="13" t="n">
        <v>2</v>
      </c>
      <c r="F34" s="13" t="inlineStr">
        <is>
          <t>EW</t>
        </is>
      </c>
      <c r="G34" s="5" t="n"/>
      <c r="H34" s="5" t="n"/>
      <c r="I34" s="5" t="n"/>
      <c r="J34" s="5" t="n"/>
      <c r="K34" s="14" t="n"/>
      <c r="L34" s="5" t="n"/>
      <c r="M34" s="15">
        <f>IF(AND(ISNUMBER(N34),ISNUMBER(N33)),VLOOKUP(ABS(N34-N33),'IMP Table'!$A$2:$C$26,3)*SIGN(N34-N33),0)</f>
        <v/>
      </c>
      <c r="N34" s="15">
        <f>IF(ISNUMBER(K34),K34,IF(ISNUMBER(L34),-L34,""))</f>
        <v/>
      </c>
      <c r="O34" s="5">
        <f>IF(ISNUMBER(L34),L34,IF(ISNUMBER(K34),-K34,""))</f>
        <v/>
      </c>
    </row>
  </sheetData>
  <mergeCells count="3">
    <mergeCell ref="N1:O1"/>
    <mergeCell ref="K1:L1"/>
    <mergeCell ref="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20 Victory Point Scales</t>
        </is>
      </c>
    </row>
    <row r="2">
      <c r="A2" s="2" t="inlineStr">
        <is>
          <t>IMP</t>
        </is>
      </c>
      <c r="B2" s="2" t="n">
        <v>8</v>
      </c>
      <c r="C2" s="2" t="n">
        <v>9</v>
      </c>
      <c r="D2" s="2" t="n">
        <v>10</v>
      </c>
      <c r="E2" s="2" t="n">
        <v>11</v>
      </c>
      <c r="F2" s="2" t="n">
        <v>12</v>
      </c>
      <c r="G2" s="2" t="n">
        <v>13</v>
      </c>
      <c r="H2" s="2" t="n">
        <v>14</v>
      </c>
      <c r="I2" s="2" t="n">
        <v>15</v>
      </c>
      <c r="J2" s="2" t="n">
        <v>16</v>
      </c>
    </row>
    <row r="3">
      <c r="A3" t="n">
        <v>0</v>
      </c>
      <c r="B3" s="16" t="n">
        <v>10</v>
      </c>
      <c r="C3" s="16" t="n">
        <v>10</v>
      </c>
      <c r="D3" s="16" t="n">
        <v>10</v>
      </c>
      <c r="E3" s="16" t="n">
        <v>10</v>
      </c>
      <c r="F3" s="16" t="n">
        <v>10</v>
      </c>
      <c r="G3" s="16" t="n">
        <v>10</v>
      </c>
      <c r="H3" s="16" t="n">
        <v>10</v>
      </c>
      <c r="I3" s="16" t="n">
        <v>10</v>
      </c>
      <c r="J3" s="16" t="n">
        <v>10</v>
      </c>
    </row>
    <row r="4">
      <c r="A4" t="n">
        <v>1</v>
      </c>
      <c r="B4" s="16" t="n">
        <v>10.43792395306135</v>
      </c>
      <c r="C4" s="16" t="n">
        <v>10.41327837905516</v>
      </c>
      <c r="D4" s="16" t="n">
        <v>10.39239147466583</v>
      </c>
      <c r="E4" s="16" t="n">
        <v>10.37439432036265</v>
      </c>
      <c r="F4" s="16" t="n">
        <v>10.35867570654809</v>
      </c>
      <c r="G4" s="16" t="n">
        <v>10.34479147093787</v>
      </c>
      <c r="H4" s="16" t="n">
        <v>10.33241001214654</v>
      </c>
      <c r="I4" s="16" t="n">
        <v>10.32127806712259</v>
      </c>
      <c r="J4" s="16" t="n">
        <v>10.31119840671979</v>
      </c>
    </row>
    <row r="5">
      <c r="A5" t="n">
        <v>2</v>
      </c>
      <c r="B5" s="16" t="n">
        <v>10.86119741728344</v>
      </c>
      <c r="C5" s="16" t="n">
        <v>10.81350887413873</v>
      </c>
      <c r="D5" s="16" t="n">
        <v>10.77302060628707</v>
      </c>
      <c r="E5" s="16" t="n">
        <v>10.73808052098949</v>
      </c>
      <c r="F5" s="16" t="n">
        <v>10.70752356036236</v>
      </c>
      <c r="G5" s="16" t="n">
        <v>10.68050122949597</v>
      </c>
      <c r="H5" s="16" t="n">
        <v>10.65637884922429</v>
      </c>
      <c r="I5" s="16" t="n">
        <v>10.63467085874016</v>
      </c>
      <c r="J5" s="16" t="n">
        <v>10.61499855591037</v>
      </c>
    </row>
    <row r="6">
      <c r="A6" t="n">
        <v>3</v>
      </c>
      <c r="B6" s="16" t="n">
        <v>11.27031051617227</v>
      </c>
      <c r="C6" s="16" t="n">
        <v>11.20110342859148</v>
      </c>
      <c r="D6" s="16" t="n">
        <v>11.14223998334443</v>
      </c>
      <c r="E6" s="16" t="n">
        <v>11.09136486675164</v>
      </c>
      <c r="F6" s="16" t="n">
        <v>11.04681284839924</v>
      </c>
      <c r="G6" s="16" t="n">
        <v>11.00736848547703</v>
      </c>
      <c r="H6" s="16" t="n">
        <v>10.97212086529584</v>
      </c>
      <c r="I6" s="16" t="n">
        <v>10.94037190679949</v>
      </c>
      <c r="J6" s="16" t="n">
        <v>10.91157632962411</v>
      </c>
    </row>
    <row r="7">
      <c r="A7" t="n">
        <v>4</v>
      </c>
      <c r="B7" s="16" t="n">
        <v>11.66573697643955</v>
      </c>
      <c r="C7" s="16" t="n">
        <v>11.57646098001957</v>
      </c>
      <c r="D7" s="16" t="n">
        <v>11.50039162511177</v>
      </c>
      <c r="E7" s="16" t="n">
        <v>11.43454486298321</v>
      </c>
      <c r="F7" s="16" t="n">
        <v>11.37680547904865</v>
      </c>
      <c r="G7" s="16" t="n">
        <v>11.32562614796347</v>
      </c>
      <c r="H7" s="16" t="n">
        <v>11.27984497114555</v>
      </c>
      <c r="I7" s="16" t="n">
        <v>11.23856999330371</v>
      </c>
      <c r="J7" s="16" t="n">
        <v>11.20110342859148</v>
      </c>
    </row>
    <row r="8">
      <c r="A8" t="n">
        <v>5</v>
      </c>
      <c r="B8" s="16" t="n">
        <v>12.04793467654792</v>
      </c>
      <c r="C8" s="16" t="n">
        <v>11.93996787090721</v>
      </c>
      <c r="D8" s="16" t="n">
        <v>11.84780729847909</v>
      </c>
      <c r="E8" s="16" t="n">
        <v>11.76790950601437</v>
      </c>
      <c r="F8" s="16" t="n">
        <v>11.69775618430958</v>
      </c>
      <c r="G8" s="16" t="n">
        <v>11.63550099127663</v>
      </c>
      <c r="H8" s="16" t="n">
        <v>11.5797547725055</v>
      </c>
      <c r="I8" s="16" t="n">
        <v>11.52944926689232</v>
      </c>
      <c r="J8" s="16" t="n">
        <v>11.48374747162542</v>
      </c>
    </row>
    <row r="9">
      <c r="A9" t="n">
        <v>6</v>
      </c>
      <c r="B9" s="16" t="n">
        <v>12.41734617690475</v>
      </c>
      <c r="C9" s="16" t="n">
        <v>12.29199824626548</v>
      </c>
      <c r="D9" s="16" t="n">
        <v>12.18480882527837</v>
      </c>
      <c r="E9" s="16" t="n">
        <v>12.09173952653896</v>
      </c>
      <c r="F9" s="16" t="n">
        <v>12.00991271642599</v>
      </c>
      <c r="G9" s="16" t="n">
        <v>11.93721381656469</v>
      </c>
      <c r="H9" s="16" t="n">
        <v>11.8720487047712</v>
      </c>
      <c r="I9" s="16" t="n">
        <v>11.81318935656002</v>
      </c>
      <c r="J9" s="16" t="n">
        <v>11.75967209266262</v>
      </c>
    </row>
    <row r="10">
      <c r="A10" t="n">
        <v>7</v>
      </c>
      <c r="B10" s="16" t="n">
        <v>12.77439923231872</v>
      </c>
      <c r="C10" s="16" t="n">
        <v>12.63291443872686</v>
      </c>
      <c r="D10" s="16" t="n">
        <v>12.5117083803971</v>
      </c>
      <c r="E10" s="16" t="n">
        <v>12.4063076260214</v>
      </c>
      <c r="F10" s="16" t="n">
        <v>12.31351603913476</v>
      </c>
      <c r="G10" s="16" t="n">
        <v>12.23097960913439</v>
      </c>
      <c r="H10" s="16" t="n">
        <v>12.1569201642965</v>
      </c>
      <c r="I10" s="16" t="n">
        <v>12.08996548258435</v>
      </c>
      <c r="J10" s="16" t="n">
        <v>12.02903703549775</v>
      </c>
    </row>
    <row r="11">
      <c r="A11" t="n">
        <v>8</v>
      </c>
      <c r="B11" s="16" t="n">
        <v>13.11950728731241</v>
      </c>
      <c r="C11" s="16" t="n">
        <v>12.96306734148158</v>
      </c>
      <c r="D11" s="16" t="n">
        <v>12.82880878095544</v>
      </c>
      <c r="E11" s="16" t="n">
        <v>12.71187870634217</v>
      </c>
      <c r="F11" s="16" t="n">
        <v>12.60880051367343</v>
      </c>
      <c r="G11" s="16" t="n">
        <v>12.5170076916387</v>
      </c>
      <c r="H11" s="16" t="n">
        <v>12.43455763635426</v>
      </c>
      <c r="I11" s="16" t="n">
        <v>12.35994856473097</v>
      </c>
      <c r="J11" s="16" t="n">
        <v>12.29199824626548</v>
      </c>
    </row>
    <row r="12">
      <c r="A12" t="n">
        <v>9</v>
      </c>
      <c r="B12" s="16" t="n">
        <v>13.45306995486456</v>
      </c>
      <c r="C12" s="16" t="n">
        <v>13.28279676943977</v>
      </c>
      <c r="D12" s="16" t="n">
        <v>13.13640376681504</v>
      </c>
      <c r="E12" s="16" t="n">
        <v>13.00871009287509</v>
      </c>
      <c r="F12" s="16" t="n">
        <v>12.8959940796912</v>
      </c>
      <c r="G12" s="16" t="n">
        <v>12.79550187322958</v>
      </c>
      <c r="H12" s="16" t="n">
        <v>12.70514481984773</v>
      </c>
      <c r="I12" s="16" t="n">
        <v>12.62330532780299</v>
      </c>
      <c r="J12" s="16" t="n">
        <v>12.54870796372399</v>
      </c>
    </row>
    <row r="13">
      <c r="A13" t="n">
        <v>10</v>
      </c>
      <c r="B13" s="16" t="n">
        <v>13.77547347913624</v>
      </c>
      <c r="C13" s="16" t="n">
        <v>13.5924318089912</v>
      </c>
      <c r="D13" s="16" t="n">
        <v>13.43477827267936</v>
      </c>
      <c r="E13" s="16" t="n">
        <v>13.29705175118441</v>
      </c>
      <c r="F13" s="16" t="n">
        <v>13.17531843120296</v>
      </c>
      <c r="G13" s="16" t="n">
        <v>13.06666059478205</v>
      </c>
      <c r="H13" s="16" t="n">
        <v>12.96886074885495</v>
      </c>
      <c r="I13" s="16" t="n">
        <v>12.88019840459997</v>
      </c>
      <c r="J13" s="16" t="n">
        <v>12.79931480739201</v>
      </c>
    </row>
    <row r="14">
      <c r="A14" t="n">
        <v>11</v>
      </c>
      <c r="B14" s="16" t="n">
        <v>14.08709118271676</v>
      </c>
      <c r="C14" s="16" t="n">
        <v>13.8922911567224</v>
      </c>
      <c r="D14" s="16" t="n">
        <v>13.7242086920374</v>
      </c>
      <c r="E14" s="16" t="n">
        <v>13.57714649752399</v>
      </c>
      <c r="F14" s="16" t="n">
        <v>13.44698918772206</v>
      </c>
      <c r="G14" s="16" t="n">
        <v>13.33067707029315</v>
      </c>
      <c r="H14" s="16" t="n">
        <v>13.2258799110867</v>
      </c>
      <c r="I14" s="16" t="n">
        <v>13.13078643634977</v>
      </c>
      <c r="J14" s="16" t="n">
        <v>13.04396386359069</v>
      </c>
    </row>
    <row r="15">
      <c r="A15" t="n">
        <v>12</v>
      </c>
      <c r="B15" s="16" t="n">
        <v>14.38828389890734</v>
      </c>
      <c r="C15" s="16" t="n">
        <v>14.18268344744002</v>
      </c>
      <c r="D15" s="16" t="n">
        <v>14.00496313319553</v>
      </c>
      <c r="E15" s="16" t="n">
        <v>13.84923020331607</v>
      </c>
      <c r="F15" s="16" t="n">
        <v>13.711216060704</v>
      </c>
      <c r="G15" s="16" t="n">
        <v>13.58773942455642</v>
      </c>
      <c r="H15" s="16" t="n">
        <v>13.47637236333634</v>
      </c>
      <c r="I15" s="16" t="n">
        <v>13.37522417067558</v>
      </c>
      <c r="J15" s="16" t="n">
        <v>13.28279676943977</v>
      </c>
    </row>
    <row r="16">
      <c r="A16" t="n">
        <v>13</v>
      </c>
      <c r="B16" s="16" t="n">
        <v>14.67940038954284</v>
      </c>
      <c r="C16" s="16" t="n">
        <v>14.46390757183791</v>
      </c>
      <c r="D16" s="16" t="n">
        <v>14.27730166763446</v>
      </c>
      <c r="E16" s="16" t="n">
        <v>14.11353199378166</v>
      </c>
      <c r="F16" s="16" t="n">
        <v>13.96820301542949</v>
      </c>
      <c r="G16" s="16" t="n">
        <v>13.83803082721021</v>
      </c>
      <c r="H16" s="16" t="n">
        <v>13.72050384399794</v>
      </c>
      <c r="I16" s="16" t="n">
        <v>13.61366255715843</v>
      </c>
      <c r="J16" s="16" t="n">
        <v>13.51595179485706</v>
      </c>
    </row>
    <row r="17">
      <c r="A17" t="n">
        <v>14</v>
      </c>
      <c r="B17" s="16" t="n">
        <v>14.96077774883564</v>
      </c>
      <c r="C17" s="16" t="n">
        <v>14.7362529841349</v>
      </c>
      <c r="D17" s="16" t="n">
        <v>14.54147657092147</v>
      </c>
      <c r="E17" s="16" t="n">
        <v>14.3702744408898</v>
      </c>
      <c r="F17" s="16" t="n">
        <v>14.21814842845186</v>
      </c>
      <c r="G17" s="16" t="n">
        <v>14.081729623255</v>
      </c>
      <c r="H17" s="16" t="n">
        <v>13.95843588272709</v>
      </c>
      <c r="I17" s="16" t="n">
        <v>13.8462488405543</v>
      </c>
      <c r="J17" s="16" t="n">
        <v>13.74356392260837</v>
      </c>
    </row>
    <row r="18">
      <c r="A18" t="n">
        <v>15</v>
      </c>
      <c r="B18" s="16" t="n">
        <v>15.23274179370907</v>
      </c>
      <c r="C18" s="16" t="n">
        <v>15</v>
      </c>
      <c r="D18" s="16" t="n">
        <v>14.79773255640099</v>
      </c>
      <c r="E18" s="16" t="n">
        <v>14.6196737507884</v>
      </c>
      <c r="F18" s="16" t="n">
        <v>14.46124524073035</v>
      </c>
      <c r="G18" s="16" t="n">
        <v>14.31900946013308</v>
      </c>
      <c r="H18" s="16" t="n">
        <v>14.19032590731709</v>
      </c>
      <c r="I18" s="16" t="n">
        <v>14.07312665172331</v>
      </c>
      <c r="J18" s="16" t="n">
        <v>13.96576492645443</v>
      </c>
    </row>
    <row r="19">
      <c r="A19" t="n">
        <v>16</v>
      </c>
      <c r="B19" s="16" t="n">
        <v>15.49560744107252</v>
      </c>
      <c r="C19" s="16" t="n">
        <v>15.25542008507155</v>
      </c>
      <c r="D19" s="16" t="n">
        <v>15.04630700188017</v>
      </c>
      <c r="E19" s="16" t="n">
        <v>14.86193994587416</v>
      </c>
      <c r="F19" s="16" t="n">
        <v>14.69768110656748</v>
      </c>
      <c r="G19" s="16" t="n">
        <v>14.55003941146097</v>
      </c>
      <c r="H19" s="16" t="n">
        <v>14.41632734786106</v>
      </c>
      <c r="I19" s="16" t="n">
        <v>14.29443609632728</v>
      </c>
      <c r="J19" s="16" t="n">
        <v>14.18268344744002</v>
      </c>
    </row>
    <row r="20">
      <c r="A20" t="n">
        <v>17</v>
      </c>
      <c r="B20" s="16" t="n">
        <v>15.74967907247498</v>
      </c>
      <c r="C20" s="16" t="n">
        <v>15.50277613436739</v>
      </c>
      <c r="D20" s="16" t="n">
        <v>15.28743016951919</v>
      </c>
      <c r="E20" s="16" t="n">
        <v>15.09727704165519</v>
      </c>
      <c r="F20" s="16" t="n">
        <v>14.9276385384655</v>
      </c>
      <c r="G20" s="16" t="n">
        <v>14.77498409750267</v>
      </c>
      <c r="H20" s="16" t="n">
        <v>14.636589738269</v>
      </c>
      <c r="I20" s="16" t="n">
        <v>14.51031384135029</v>
      </c>
      <c r="J20" s="16" t="n">
        <v>14.39444506836941</v>
      </c>
    </row>
    <row r="21">
      <c r="A21" t="n">
        <v>18</v>
      </c>
      <c r="B21" s="16" t="n">
        <v>15.99525088655935</v>
      </c>
      <c r="C21" s="16" t="n">
        <v>15.74232274287356</v>
      </c>
      <c r="D21" s="16" t="n">
        <v>15.52132541913021</v>
      </c>
      <c r="E21" s="16" t="n">
        <v>15.32588321855512</v>
      </c>
      <c r="F21" s="16" t="n">
        <v>15.15129504801365</v>
      </c>
      <c r="G21" s="16" t="n">
        <v>14.99400380246977</v>
      </c>
      <c r="H21" s="16" t="n">
        <v>14.85125881520694</v>
      </c>
      <c r="I21" s="16" t="n">
        <v>14.72089319949567</v>
      </c>
      <c r="J21" s="16" t="n">
        <v>14.60117238651122</v>
      </c>
    </row>
    <row r="22">
      <c r="A22" t="n">
        <v>19</v>
      </c>
      <c r="B22" s="16" t="n">
        <v>16.23260723972561</v>
      </c>
      <c r="C22" s="16" t="n">
        <v>15.97430646759006</v>
      </c>
      <c r="D22" s="16" t="n">
        <v>15.74820941508245</v>
      </c>
      <c r="E22" s="16" t="n">
        <v>15.54795098880343</v>
      </c>
      <c r="F22" s="16" t="n">
        <v>15.36882328291519</v>
      </c>
      <c r="G22" s="16" t="n">
        <v>15.20725458873188</v>
      </c>
      <c r="H22" s="16" t="n">
        <v>15.06047661452366</v>
      </c>
      <c r="I22" s="16" t="n">
        <v>14.92630421151174</v>
      </c>
      <c r="J22" s="16" t="n">
        <v>14.80298508457494</v>
      </c>
    </row>
    <row r="23">
      <c r="A23" t="n">
        <v>20</v>
      </c>
      <c r="B23" s="16" t="n">
        <v>16.46202297539726</v>
      </c>
      <c r="C23" s="16" t="n">
        <v>16.19896608130342</v>
      </c>
      <c r="D23" s="16" t="n">
        <v>15.96829232700504</v>
      </c>
      <c r="E23" s="16" t="n">
        <v>15.76366735855245</v>
      </c>
      <c r="F23" s="16" t="n">
        <v>15.58039116025966</v>
      </c>
      <c r="G23" s="16" t="n">
        <v>15.41488840801877</v>
      </c>
      <c r="H23" s="16" t="n">
        <v>15.2643815652287</v>
      </c>
      <c r="I23" s="16" t="n">
        <v>15.12667372649685</v>
      </c>
      <c r="J23" s="16" t="n">
        <v>15</v>
      </c>
    </row>
    <row r="24">
      <c r="A24" t="n">
        <v>21</v>
      </c>
      <c r="B24" s="16" t="n">
        <v>16.68376374227236</v>
      </c>
      <c r="C24" s="16" t="n">
        <v>16.41653281834722</v>
      </c>
      <c r="D24" s="16" t="n">
        <v>16.18177802447364</v>
      </c>
      <c r="E24" s="16" t="n">
        <v>15.97321398535769</v>
      </c>
      <c r="F24" s="16" t="n">
        <v>15.78616199614359</v>
      </c>
      <c r="G24" s="16" t="n">
        <v>15.61705320969352</v>
      </c>
      <c r="H24" s="16" t="n">
        <v>15.46310858108402</v>
      </c>
      <c r="I24" s="16" t="n">
        <v>15.32212548023352</v>
      </c>
      <c r="J24" s="16" t="n">
        <v>15.19233119259764</v>
      </c>
    </row>
    <row r="25">
      <c r="A25" t="n">
        <v>22</v>
      </c>
      <c r="B25" s="16" t="n">
        <v>16.89808630192769</v>
      </c>
      <c r="C25" s="16" t="n">
        <v>16.62723061260355</v>
      </c>
      <c r="D25" s="16" t="n">
        <v>16.3888642658611</v>
      </c>
      <c r="E25" s="16" t="n">
        <v>16.17676733115404</v>
      </c>
      <c r="F25" s="16" t="n">
        <v>15.98629463173946</v>
      </c>
      <c r="G25" s="16" t="n">
        <v>15.81389304617371</v>
      </c>
      <c r="H25" s="16" t="n">
        <v>15.65678914986966</v>
      </c>
      <c r="I25" s="16" t="n">
        <v>15.51278017160003</v>
      </c>
      <c r="J25" s="16" t="n">
        <v>15.38009001058471</v>
      </c>
    </row>
    <row r="26">
      <c r="A26" t="n">
        <v>23</v>
      </c>
      <c r="B26" s="16" t="n">
        <v>17.10523882613215</v>
      </c>
      <c r="C26" s="16" t="n">
        <v>16.83127632799041</v>
      </c>
      <c r="D26" s="16" t="n">
        <v>16.58974288152711</v>
      </c>
      <c r="E26" s="16" t="n">
        <v>16.37449881085664</v>
      </c>
      <c r="F26" s="16" t="n">
        <v>16.18094355591033</v>
      </c>
      <c r="G26" s="16" t="n">
        <v>16.00554817557594</v>
      </c>
      <c r="H26" s="16" t="n">
        <v>15.84555142038267</v>
      </c>
      <c r="I26" s="16" t="n">
        <v>15.69875553710651</v>
      </c>
      <c r="J26" s="16" t="n">
        <v>15.56338515504758</v>
      </c>
    </row>
    <row r="27">
      <c r="A27" t="n">
        <v>24</v>
      </c>
      <c r="B27" s="16" t="n">
        <v>17.30546118421379</v>
      </c>
      <c r="C27" s="16" t="n">
        <v>17.02887998167213</v>
      </c>
      <c r="D27" s="16" t="n">
        <v>16.78459995151657</v>
      </c>
      <c r="E27" s="16" t="n">
        <v>16.5665749367116</v>
      </c>
      <c r="F27" s="16" t="n">
        <v>16.37025902446483</v>
      </c>
      <c r="G27" s="16" t="n">
        <v>16.19215516165662</v>
      </c>
      <c r="H27" s="16" t="n">
        <v>16.02952028722686</v>
      </c>
      <c r="I27" s="16" t="n">
        <v>15.8801664236017</v>
      </c>
      <c r="J27" s="16" t="n">
        <v>15.74232274287356</v>
      </c>
    </row>
    <row r="28">
      <c r="A28" t="n">
        <v>25</v>
      </c>
      <c r="B28" s="16" t="n">
        <v>17.49898522081303</v>
      </c>
      <c r="C28" s="16" t="n">
        <v>17.22024496022283</v>
      </c>
      <c r="D28" s="16" t="n">
        <v>16.97361597793128</v>
      </c>
      <c r="E28" s="16" t="n">
        <v>16.75315745851815</v>
      </c>
      <c r="F28" s="16" t="n">
        <v>16.55438717614444</v>
      </c>
      <c r="G28" s="16" t="n">
        <v>16.37384697112045</v>
      </c>
      <c r="H28" s="16" t="n">
        <v>16.20881747344924</v>
      </c>
      <c r="I28" s="16" t="n">
        <v>16.05712485919529</v>
      </c>
      <c r="J28" s="16" t="n">
        <v>15.91700636818623</v>
      </c>
    </row>
    <row r="29">
      <c r="A29" t="n">
        <v>26</v>
      </c>
      <c r="B29" s="16" t="n">
        <v>17.68603502434394</v>
      </c>
      <c r="C29" s="16" t="n">
        <v>17.40556822896509</v>
      </c>
      <c r="D29" s="16" t="n">
        <v>17.1569660521346</v>
      </c>
      <c r="E29" s="16" t="n">
        <v>16.93440349984023</v>
      </c>
      <c r="F29" s="16" t="n">
        <v>16.73347014543278</v>
      </c>
      <c r="G29" s="16" t="n">
        <v>16.55075306836576</v>
      </c>
      <c r="H29" s="16" t="n">
        <v>16.38356161107821</v>
      </c>
      <c r="I29" s="16" t="n">
        <v>16.22974012243949</v>
      </c>
      <c r="J29" s="16" t="n">
        <v>16.08753716232016</v>
      </c>
    </row>
    <row r="30">
      <c r="A30" t="n">
        <v>27</v>
      </c>
      <c r="B30" s="16" t="n">
        <v>17.8668271864742</v>
      </c>
      <c r="C30" s="16" t="n">
        <v>17.58504053469952</v>
      </c>
      <c r="D30" s="16" t="n">
        <v>17.33482001694394</v>
      </c>
      <c r="E30" s="16" t="n">
        <v>17.11046569032226</v>
      </c>
      <c r="F30" s="16" t="n">
        <v>16.90764617227374</v>
      </c>
      <c r="G30" s="16" t="n">
        <v>16.72299950773427</v>
      </c>
      <c r="H30" s="16" t="n">
        <v>16.55386831961638</v>
      </c>
      <c r="I30" s="16" t="n">
        <v>16.39811880981269</v>
      </c>
      <c r="J30" s="16" t="n">
        <v>16.25401385236994</v>
      </c>
    </row>
    <row r="31">
      <c r="A31" t="n">
        <v>28</v>
      </c>
      <c r="B31" s="16" t="n">
        <v>18.04157105292435</v>
      </c>
      <c r="C31" s="16" t="n">
        <v>17.75884660203384</v>
      </c>
      <c r="D31" s="16" t="n">
        <v>17.50734262396139</v>
      </c>
      <c r="E31" s="16" t="n">
        <v>17.2814922942206</v>
      </c>
      <c r="F31" s="16" t="n">
        <v>17.07704970878346</v>
      </c>
      <c r="G31" s="16" t="n">
        <v>16.89070902333106</v>
      </c>
      <c r="H31" s="16" t="n">
        <v>16.71985028254032</v>
      </c>
      <c r="I31" s="16" t="n">
        <v>16.56236490154684</v>
      </c>
      <c r="J31" s="16" t="n">
        <v>16.41653281834722</v>
      </c>
    </row>
    <row r="32">
      <c r="A32" t="n">
        <v>29</v>
      </c>
      <c r="B32" s="16" t="n">
        <v>18.21046896587674</v>
      </c>
      <c r="C32" s="16" t="n">
        <v>17.92716532351348</v>
      </c>
      <c r="D32" s="16" t="n">
        <v>17.67469368618823</v>
      </c>
      <c r="E32" s="16" t="n">
        <v>17.44762733525874</v>
      </c>
      <c r="F32" s="16" t="n">
        <v>17.24181152303821</v>
      </c>
      <c r="G32" s="16" t="n">
        <v>17.05400111647867</v>
      </c>
      <c r="H32" s="16" t="n">
        <v>16.88161732185756</v>
      </c>
      <c r="I32" s="16" t="n">
        <v>16.7225798258392</v>
      </c>
      <c r="J32" s="16" t="n">
        <v>16.57518814897896</v>
      </c>
    </row>
    <row r="33">
      <c r="A33" t="n">
        <v>30</v>
      </c>
      <c r="B33" s="16" t="n">
        <v>18.37371649827472</v>
      </c>
      <c r="C33" s="16" t="n">
        <v>18.09016994374947</v>
      </c>
      <c r="D33" s="16" t="n">
        <v>17.83702822606461</v>
      </c>
      <c r="E33" s="16" t="n">
        <v>17.60901071791161</v>
      </c>
      <c r="F33" s="16" t="n">
        <v>17.40205880001849</v>
      </c>
      <c r="G33" s="16" t="n">
        <v>17.21299214086777</v>
      </c>
      <c r="H33" s="16" t="n">
        <v>17.03927647077036</v>
      </c>
      <c r="I33" s="16" t="n">
        <v>16.87886252148808</v>
      </c>
      <c r="J33" s="16" t="n">
        <v>16.73007169617913</v>
      </c>
    </row>
    <row r="34">
      <c r="A34" t="n">
        <v>31</v>
      </c>
      <c r="B34" s="16" t="n">
        <v>18.53150268028364</v>
      </c>
      <c r="C34" s="16" t="n">
        <v>18.24802823773308</v>
      </c>
      <c r="D34" s="16" t="n">
        <v>17.99449661907163</v>
      </c>
      <c r="E34" s="16" t="n">
        <v>17.7657783452209</v>
      </c>
      <c r="F34" s="16" t="n">
        <v>17.55791523978733</v>
      </c>
      <c r="G34" s="16" t="n">
        <v>17.3677953854648</v>
      </c>
      <c r="H34" s="16" t="n">
        <v>17.19293204449428</v>
      </c>
      <c r="I34" s="16" t="n">
        <v>17.03130949899132</v>
      </c>
      <c r="J34" s="16" t="n">
        <v>16.88127312822549</v>
      </c>
    </row>
    <row r="35">
      <c r="A35" t="n">
        <v>32</v>
      </c>
      <c r="B35" s="16" t="n">
        <v>18.68401021817558</v>
      </c>
      <c r="C35" s="16" t="n">
        <v>18.40090268352081</v>
      </c>
      <c r="D35" s="16" t="n">
        <v>18.14724473302873</v>
      </c>
      <c r="E35" s="16" t="n">
        <v>17.91806223324082</v>
      </c>
      <c r="F35" s="16" t="n">
        <v>17.70950115297825</v>
      </c>
      <c r="G35" s="16" t="n">
        <v>17.51852115523607</v>
      </c>
      <c r="H35" s="16" t="n">
        <v>17.34268570927832</v>
      </c>
      <c r="I35" s="16" t="n">
        <v>17.18001490014517</v>
      </c>
      <c r="J35" s="16" t="n">
        <v>17.02887998167213</v>
      </c>
    </row>
    <row r="36">
      <c r="A36" t="n">
        <v>33</v>
      </c>
      <c r="B36" s="16" t="n">
        <v>18.83141570589153</v>
      </c>
      <c r="C36" s="16" t="n">
        <v>18.54895062946738</v>
      </c>
      <c r="D36" s="16" t="n">
        <v>18.2954140632156</v>
      </c>
      <c r="E36" s="16" t="n">
        <v>18.06599062221051</v>
      </c>
      <c r="F36" s="16" t="n">
        <v>17.85693355366703</v>
      </c>
      <c r="G36" s="16" t="n">
        <v>17.66527684974545</v>
      </c>
      <c r="H36" s="16" t="n">
        <v>17.48863654967248</v>
      </c>
      <c r="I36" s="16" t="n">
        <v>17.32507055618046</v>
      </c>
      <c r="J36" s="16" t="n">
        <v>17.17297771202786</v>
      </c>
    </row>
    <row r="37">
      <c r="A37" t="n">
        <v>34</v>
      </c>
      <c r="B37" s="16" t="n">
        <v>18.97388982952581</v>
      </c>
      <c r="C37" s="16" t="n">
        <v>18.69232445617898</v>
      </c>
      <c r="D37" s="16" t="n">
        <v>18.43914186344356</v>
      </c>
      <c r="E37" s="16" t="n">
        <v>18.20968808454681</v>
      </c>
      <c r="F37" s="16" t="n">
        <v>18.00032624969862</v>
      </c>
      <c r="G37" s="16" t="n">
        <v>17.80816703968187</v>
      </c>
      <c r="H37" s="16" t="n">
        <v>17.63088113408702</v>
      </c>
      <c r="I37" s="16" t="n">
        <v>17.46656604447183</v>
      </c>
      <c r="J37" s="16" t="n">
        <v>17.31364974322985</v>
      </c>
    </row>
    <row r="38">
      <c r="A38" t="n">
        <v>35</v>
      </c>
      <c r="B38" s="16" t="n">
        <v>19.11159756496964</v>
      </c>
      <c r="C38" s="16" t="n">
        <v>18.83117173335326</v>
      </c>
      <c r="D38" s="16" t="n">
        <v>18.57856127319805</v>
      </c>
      <c r="E38" s="16" t="n">
        <v>18.34927562974831</v>
      </c>
      <c r="F38" s="16" t="n">
        <v>18.13978993053913</v>
      </c>
      <c r="G38" s="16" t="n">
        <v>17.94729354137111</v>
      </c>
      <c r="H38" s="16" t="n">
        <v>17.76951357868702</v>
      </c>
      <c r="I38" s="16" t="n">
        <v>17.60458874385517</v>
      </c>
      <c r="J38" s="16" t="n">
        <v>17.45097751594106</v>
      </c>
    </row>
    <row r="39">
      <c r="A39" t="n">
        <v>36</v>
      </c>
      <c r="B39" s="16" t="n">
        <v>19.24469836894262</v>
      </c>
      <c r="C39" s="16" t="n">
        <v>18.96563537166774</v>
      </c>
      <c r="D39" s="16" t="n">
        <v>18.71380144096975</v>
      </c>
      <c r="E39" s="16" t="n">
        <v>18.48487080629903</v>
      </c>
      <c r="F39" s="16" t="n">
        <v>18.27543225272056</v>
      </c>
      <c r="G39" s="16" t="n">
        <v>18.082755489325</v>
      </c>
      <c r="H39" s="16" t="n">
        <v>17.90462560966431</v>
      </c>
      <c r="I39" s="16" t="n">
        <v>17.73922388858739</v>
      </c>
      <c r="J39" s="16" t="n">
        <v>17.58504053469952</v>
      </c>
    </row>
    <row r="40">
      <c r="A40" t="n">
        <v>37</v>
      </c>
      <c r="B40" s="16" t="n">
        <v>19.37334636363337</v>
      </c>
      <c r="C40" s="16" t="n">
        <v>19.09585376987278</v>
      </c>
      <c r="D40" s="16" t="n">
        <v>18.8449876438889</v>
      </c>
      <c r="E40" s="16" t="n">
        <v>18.61658780065751</v>
      </c>
      <c r="F40" s="16" t="n">
        <v>18.40735792294443</v>
      </c>
      <c r="G40" s="16" t="n">
        <v>18.21464940687959</v>
      </c>
      <c r="H40" s="16" t="n">
        <v>18.0363066239282</v>
      </c>
      <c r="I40" s="16" t="n">
        <v>17.87055462098179</v>
      </c>
      <c r="J40" s="16" t="n">
        <v>17.71591641394665</v>
      </c>
    </row>
    <row r="41">
      <c r="A41" t="n">
        <v>38</v>
      </c>
      <c r="B41" s="16" t="n">
        <v>19.49769051516314</v>
      </c>
      <c r="C41" s="16" t="n">
        <v>19.22196095724065</v>
      </c>
      <c r="D41" s="16" t="n">
        <v>18.97224140377327</v>
      </c>
      <c r="E41" s="16" t="n">
        <v>18.74453753341474</v>
      </c>
      <c r="F41" s="16" t="n">
        <v>18.53566877890823</v>
      </c>
      <c r="G41" s="16" t="n">
        <v>18.3430692749729</v>
      </c>
      <c r="H41" s="16" t="n">
        <v>18.16464374825491</v>
      </c>
      <c r="I41" s="16" t="n">
        <v>17.99866204275159</v>
      </c>
      <c r="J41" s="16" t="n">
        <v>17.8436809229614</v>
      </c>
    </row>
    <row r="42">
      <c r="A42" t="n">
        <v>39</v>
      </c>
      <c r="B42" s="16" t="n">
        <v>19.61787480607904</v>
      </c>
      <c r="C42" s="16" t="n">
        <v>19.34408673151712</v>
      </c>
      <c r="D42" s="16" t="n">
        <v>19.09568059969764</v>
      </c>
      <c r="E42" s="16" t="n">
        <v>18.86882775270177</v>
      </c>
      <c r="F42" s="16" t="n">
        <v>18.66046386791727</v>
      </c>
      <c r="G42" s="16" t="n">
        <v>18.46810659911086</v>
      </c>
      <c r="H42" s="16" t="n">
        <v>18.28972189693504</v>
      </c>
      <c r="I42" s="16" t="n">
        <v>18.12362526509333</v>
      </c>
      <c r="J42" s="16" t="n">
        <v>17.9684080297261</v>
      </c>
    </row>
    <row r="43">
      <c r="A43" t="n">
        <v>40</v>
      </c>
      <c r="B43" s="16" t="n">
        <v>19.73403840207654</v>
      </c>
      <c r="C43" s="16" t="n">
        <v>19.46235679251784</v>
      </c>
      <c r="D43" s="16" t="n">
        <v>19.21541957718875</v>
      </c>
      <c r="E43" s="16" t="n">
        <v>18.98956312492589</v>
      </c>
      <c r="F43" s="16" t="n">
        <v>18.78183952334243</v>
      </c>
      <c r="G43" s="16" t="n">
        <v>18.58985047456963</v>
      </c>
      <c r="H43" s="16" t="n">
        <v>18.41162382795713</v>
      </c>
      <c r="I43" s="16" t="n">
        <v>18.24552145754105</v>
      </c>
      <c r="J43" s="16" t="n">
        <v>18.09016994374947</v>
      </c>
    </row>
    <row r="44">
      <c r="A44" t="n">
        <v>41</v>
      </c>
      <c r="B44" s="16" t="n">
        <v>19.84631581314446</v>
      </c>
      <c r="C44" s="16" t="n">
        <v>19.57689287150679</v>
      </c>
      <c r="D44" s="16" t="n">
        <v>19.33156925414713</v>
      </c>
      <c r="E44" s="16" t="n">
        <v>19.10684532291148</v>
      </c>
      <c r="F44" s="16" t="n">
        <v>18.89988943898314</v>
      </c>
      <c r="G44" s="16" t="n">
        <v>18.70838764988031</v>
      </c>
      <c r="H44" s="16" t="n">
        <v>18.53043019776452</v>
      </c>
      <c r="I44" s="16" t="n">
        <v>18.36442589562137</v>
      </c>
      <c r="J44" s="16" t="n">
        <v>18.20903715787162</v>
      </c>
    </row>
    <row r="45">
      <c r="A45" t="n">
        <v>42</v>
      </c>
      <c r="B45" s="16" t="n">
        <v>19.95483704931888</v>
      </c>
      <c r="C45" s="16" t="n">
        <v>19.68781285648998</v>
      </c>
      <c r="D45" s="16" t="n">
        <v>19.44423722359372</v>
      </c>
      <c r="E45" s="16" t="n">
        <v>19.2207731115201</v>
      </c>
      <c r="F45" s="16" t="n">
        <v>19.01470474139252</v>
      </c>
      <c r="G45" s="16" t="n">
        <v>18.8238025886416</v>
      </c>
      <c r="H45" s="16" t="n">
        <v>18.64621961462169</v>
      </c>
      <c r="I45" s="16" t="n">
        <v>18.48041200733902</v>
      </c>
      <c r="J45" s="16" t="n">
        <v>18.32507848907513</v>
      </c>
    </row>
    <row r="46">
      <c r="A46" t="n">
        <v>43</v>
      </c>
      <c r="B46" s="16" t="n">
        <v>20</v>
      </c>
      <c r="C46" s="16" t="n">
        <v>19.79523091355355</v>
      </c>
      <c r="D46" s="16" t="n">
        <v>19.55352785333665</v>
      </c>
      <c r="E46" s="16" t="n">
        <v>19.33144243082162</v>
      </c>
      <c r="F46" s="16" t="n">
        <v>19.126374060221</v>
      </c>
      <c r="G46" s="16" t="n">
        <v>18.93617752970425</v>
      </c>
      <c r="H46" s="16" t="n">
        <v>18.75906869062542</v>
      </c>
      <c r="I46" s="16" t="n">
        <v>18.59355141852139</v>
      </c>
      <c r="J46" s="16" t="n">
        <v>18.43836111832601</v>
      </c>
    </row>
    <row r="47">
      <c r="A47" t="n">
        <v>44</v>
      </c>
      <c r="B47" s="16" t="n">
        <v>20</v>
      </c>
      <c r="C47" s="16" t="n">
        <v>19.89925760437089</v>
      </c>
      <c r="D47" s="16" t="n">
        <v>19.6595423826503</v>
      </c>
      <c r="E47" s="16" t="n">
        <v>19.43894647688658</v>
      </c>
      <c r="F47" s="16" t="n">
        <v>19.23498359663239</v>
      </c>
      <c r="G47" s="16" t="n">
        <v>19.04559254577035</v>
      </c>
      <c r="H47" s="16" t="n">
        <v>18.86905209239525</v>
      </c>
      <c r="I47" s="16" t="n">
        <v>18.70391399705022</v>
      </c>
      <c r="J47" s="16" t="n">
        <v>18.54895062946738</v>
      </c>
    </row>
    <row r="48">
      <c r="A48" t="n">
        <v>45</v>
      </c>
      <c r="B48" s="16" t="n">
        <v>20</v>
      </c>
      <c r="C48" s="16" t="n">
        <v>20</v>
      </c>
      <c r="D48" s="16" t="n">
        <v>19.76237901605641</v>
      </c>
      <c r="E48" s="16" t="n">
        <v>19.54337578026786</v>
      </c>
      <c r="F48" s="16" t="n">
        <v>19.34061718984537</v>
      </c>
      <c r="G48" s="16" t="n">
        <v>19.15212560044908</v>
      </c>
      <c r="H48" s="16" t="n">
        <v>18.97624259047665</v>
      </c>
      <c r="I48" s="16" t="n">
        <v>18.81156789600769</v>
      </c>
      <c r="J48" s="16" t="n">
        <v>18.65691104718866</v>
      </c>
    </row>
    <row r="49">
      <c r="A49" t="n">
        <v>46</v>
      </c>
      <c r="B49" s="16" t="n">
        <v>20</v>
      </c>
      <c r="C49" s="16" t="n">
        <v>20</v>
      </c>
      <c r="D49" s="16" t="n">
        <v>19.86213301429388</v>
      </c>
      <c r="E49" s="16" t="n">
        <v>19.64481828223759</v>
      </c>
      <c r="F49" s="16" t="n">
        <v>19.44335638185166</v>
      </c>
      <c r="G49" s="16" t="n">
        <v>19.2558526038096</v>
      </c>
      <c r="H49" s="16" t="n">
        <v>19.08071110748963</v>
      </c>
      <c r="I49" s="16" t="n">
        <v>18.91657959576348</v>
      </c>
      <c r="J49" s="16" t="n">
        <v>18.76230487409194</v>
      </c>
    </row>
    <row r="50">
      <c r="A50" t="n">
        <v>47</v>
      </c>
      <c r="B50" s="16" t="n">
        <v>20</v>
      </c>
      <c r="C50" s="16" t="n">
        <v>20</v>
      </c>
      <c r="D50" s="16" t="n">
        <v>19.95889678256182</v>
      </c>
      <c r="E50" s="16" t="n">
        <v>19.74335940884367</v>
      </c>
      <c r="F50" s="16" t="n">
        <v>19.54328048036097</v>
      </c>
      <c r="G50" s="16" t="n">
        <v>19.35684746647078</v>
      </c>
      <c r="H50" s="16" t="n">
        <v>19.18252676505476</v>
      </c>
      <c r="I50" s="16" t="n">
        <v>19.01901394502895</v>
      </c>
      <c r="J50" s="16" t="n">
        <v>18.86519312687729</v>
      </c>
    </row>
    <row r="51">
      <c r="A51" t="n">
        <v>48</v>
      </c>
      <c r="B51" s="16" t="n">
        <v>20</v>
      </c>
      <c r="C51" s="16" t="n">
        <v>20</v>
      </c>
      <c r="D51" s="16" t="n">
        <v>20</v>
      </c>
      <c r="E51" s="16" t="n">
        <v>19.83908214284812</v>
      </c>
      <c r="F51" s="16" t="n">
        <v>19.64046662002116</v>
      </c>
      <c r="G51" s="16" t="n">
        <v>19.45518215226613</v>
      </c>
      <c r="H51" s="16" t="n">
        <v>19.28175692952749</v>
      </c>
      <c r="I51" s="16" t="n">
        <v>19.11893420090371</v>
      </c>
      <c r="J51" s="16" t="n">
        <v>18.96563537166774</v>
      </c>
    </row>
    <row r="52">
      <c r="A52" t="n">
        <v>49</v>
      </c>
      <c r="B52" s="16" t="n">
        <v>20</v>
      </c>
      <c r="C52" s="16" t="n">
        <v>20</v>
      </c>
      <c r="D52" s="16" t="n">
        <v>20</v>
      </c>
      <c r="E52" s="16" t="n">
        <v>19.93206709360798</v>
      </c>
      <c r="F52" s="16" t="n">
        <v>19.73498982196098</v>
      </c>
      <c r="G52" s="16" t="n">
        <v>19.55092672952162</v>
      </c>
      <c r="H52" s="16" t="n">
        <v>19.37846725657111</v>
      </c>
      <c r="I52" s="16" t="n">
        <v>19.21640206793922</v>
      </c>
      <c r="J52" s="16" t="n">
        <v>19.0636897584945</v>
      </c>
    </row>
    <row r="53">
      <c r="A53" t="n">
        <v>50</v>
      </c>
      <c r="B53" s="16" t="n">
        <v>20</v>
      </c>
      <c r="C53" s="16" t="n">
        <v>20</v>
      </c>
      <c r="D53" s="16" t="n">
        <v>20</v>
      </c>
      <c r="E53" s="16" t="n">
        <v>20</v>
      </c>
      <c r="F53" s="16" t="n">
        <v>19.8269230517013</v>
      </c>
      <c r="G53" s="16" t="n">
        <v>19.64414942098279</v>
      </c>
      <c r="H53" s="16" t="n">
        <v>19.47272173459784</v>
      </c>
      <c r="I53" s="16" t="n">
        <v>19.31147773624375</v>
      </c>
      <c r="J53" s="16" t="n">
        <v>19.15941305496236</v>
      </c>
    </row>
    <row r="54">
      <c r="A54" t="n">
        <v>51</v>
      </c>
      <c r="B54" s="16" t="n">
        <v>20</v>
      </c>
      <c r="C54" s="16" t="n">
        <v>20</v>
      </c>
      <c r="D54" s="16" t="n">
        <v>20</v>
      </c>
      <c r="E54" s="16" t="n">
        <v>20</v>
      </c>
      <c r="F54" s="16" t="n">
        <v>19.91633727547959</v>
      </c>
      <c r="G54" s="16" t="n">
        <v>19.73491665242688</v>
      </c>
      <c r="H54" s="16" t="n">
        <v>19.56458272710678</v>
      </c>
      <c r="I54" s="16" t="n">
        <v>19.40421991865204</v>
      </c>
      <c r="J54" s="16" t="n">
        <v>19.25286067911467</v>
      </c>
    </row>
    <row r="55">
      <c r="A55" t="n">
        <v>52</v>
      </c>
      <c r="B55" s="16" t="n">
        <v>20</v>
      </c>
      <c r="C55" s="16" t="n">
        <v>20</v>
      </c>
      <c r="D55" s="16" t="n">
        <v>20</v>
      </c>
      <c r="E55" s="16" t="n">
        <v>20</v>
      </c>
      <c r="F55" s="16" t="n">
        <v>20</v>
      </c>
      <c r="G55" s="16" t="n">
        <v>19.82329309999444</v>
      </c>
      <c r="H55" s="16" t="n">
        <v>19.65411101394675</v>
      </c>
      <c r="I55" s="16" t="n">
        <v>19.49468588698266</v>
      </c>
      <c r="J55" s="16" t="n">
        <v>19.34408673151712</v>
      </c>
    </row>
    <row r="56">
      <c r="A56" t="n">
        <v>53</v>
      </c>
      <c r="B56" s="16" t="n">
        <v>20</v>
      </c>
      <c r="C56" s="16" t="n">
        <v>20</v>
      </c>
      <c r="D56" s="16" t="n">
        <v>20</v>
      </c>
      <c r="E56" s="16" t="n">
        <v>20</v>
      </c>
      <c r="F56" s="16" t="n">
        <v>20</v>
      </c>
      <c r="G56" s="16" t="n">
        <v>19.9093417362743</v>
      </c>
      <c r="H56" s="16" t="n">
        <v>19.74136583153124</v>
      </c>
      <c r="I56" s="16" t="n">
        <v>19.58293150740562</v>
      </c>
      <c r="J56" s="16" t="n">
        <v>19.43314402657867</v>
      </c>
    </row>
    <row r="57">
      <c r="A57" t="n">
        <v>54</v>
      </c>
      <c r="B57" s="16" t="n">
        <v>20</v>
      </c>
      <c r="C57" s="16" t="n">
        <v>20</v>
      </c>
      <c r="D57" s="16" t="n">
        <v>20</v>
      </c>
      <c r="E57" s="16" t="n">
        <v>20</v>
      </c>
      <c r="F57" s="16" t="n">
        <v>20</v>
      </c>
      <c r="G57" s="16" t="n">
        <v>19.99312387517462</v>
      </c>
      <c r="H57" s="16" t="n">
        <v>19.82640491203228</v>
      </c>
      <c r="I57" s="16" t="n">
        <v>19.66901127494177</v>
      </c>
      <c r="J57" s="16" t="n">
        <v>19.52008412312799</v>
      </c>
    </row>
    <row r="58">
      <c r="A58" t="n">
        <v>55</v>
      </c>
      <c r="B58" s="16" t="n">
        <v>20</v>
      </c>
      <c r="C58" s="16" t="n">
        <v>20</v>
      </c>
      <c r="D58" s="16" t="n">
        <v>20</v>
      </c>
      <c r="E58" s="16" t="n">
        <v>20</v>
      </c>
      <c r="F58" s="16" t="n">
        <v>20</v>
      </c>
      <c r="G58" s="16" t="n">
        <v>20</v>
      </c>
      <c r="H58" s="16" t="n">
        <v>19.90928452157888</v>
      </c>
      <c r="I58" s="16" t="n">
        <v>19.75297834711558</v>
      </c>
      <c r="J58" s="16" t="n">
        <v>19.60495735426284</v>
      </c>
    </row>
    <row r="59">
      <c r="A59" t="n">
        <v>56</v>
      </c>
      <c r="B59" s="16" t="n">
        <v>20</v>
      </c>
      <c r="C59" s="16" t="n">
        <v>20</v>
      </c>
      <c r="D59" s="16" t="n">
        <v>20</v>
      </c>
      <c r="E59" s="16" t="n">
        <v>20</v>
      </c>
      <c r="F59" s="16" t="n">
        <v>20</v>
      </c>
      <c r="G59" s="16" t="n">
        <v>20</v>
      </c>
      <c r="H59" s="16" t="n">
        <v>19.99005949748554</v>
      </c>
      <c r="I59" s="16" t="n">
        <v>19.83488457678192</v>
      </c>
      <c r="J59" s="16" t="n">
        <v>19.68781285648998</v>
      </c>
    </row>
    <row r="60">
      <c r="A60" t="n">
        <v>57</v>
      </c>
      <c r="B60" s="16" t="n">
        <v>20</v>
      </c>
      <c r="C60" s="16" t="n">
        <v>20</v>
      </c>
      <c r="D60" s="16" t="n">
        <v>20</v>
      </c>
      <c r="E60" s="16" t="n">
        <v>20</v>
      </c>
      <c r="F60" s="16" t="n">
        <v>20</v>
      </c>
      <c r="G60" s="16" t="n">
        <v>20</v>
      </c>
      <c r="H60" s="16" t="n">
        <v>20</v>
      </c>
      <c r="I60" s="16" t="n">
        <v>19.91478054414721</v>
      </c>
      <c r="J60" s="16" t="n">
        <v>19.76869859817223</v>
      </c>
    </row>
    <row r="61">
      <c r="A61" t="n">
        <v>58</v>
      </c>
      <c r="B61" s="16" t="n">
        <v>20</v>
      </c>
      <c r="C61" s="16" t="n">
        <v>20</v>
      </c>
      <c r="D61" s="16" t="n">
        <v>20</v>
      </c>
      <c r="E61" s="16" t="n">
        <v>20</v>
      </c>
      <c r="F61" s="16" t="n">
        <v>20</v>
      </c>
      <c r="G61" s="16" t="n">
        <v>20</v>
      </c>
      <c r="H61" s="16" t="n">
        <v>20</v>
      </c>
      <c r="I61" s="16" t="n">
        <v>19.99271558800451</v>
      </c>
      <c r="J61" s="16" t="n">
        <v>19.84766140729929</v>
      </c>
    </row>
    <row r="62">
      <c r="A62" t="n">
        <v>59</v>
      </c>
      <c r="B62" s="16" t="n">
        <v>20</v>
      </c>
      <c r="C62" s="16" t="n">
        <v>20</v>
      </c>
      <c r="D62" s="16" t="n">
        <v>20</v>
      </c>
      <c r="E62" s="16" t="n">
        <v>20</v>
      </c>
      <c r="F62" s="16" t="n">
        <v>20</v>
      </c>
      <c r="G62" s="16" t="n">
        <v>20</v>
      </c>
      <c r="H62" s="16" t="n">
        <v>20</v>
      </c>
      <c r="I62" s="16" t="n">
        <v>20</v>
      </c>
      <c r="J62" s="16" t="n">
        <v>19.92474699859832</v>
      </c>
    </row>
    <row r="63">
      <c r="A63" t="n">
        <v>60</v>
      </c>
      <c r="B63" s="16" t="n">
        <v>20</v>
      </c>
      <c r="C63" s="16" t="n">
        <v>20</v>
      </c>
      <c r="D63" s="16" t="n">
        <v>20</v>
      </c>
      <c r="E63" s="16" t="n">
        <v>20</v>
      </c>
      <c r="F63" s="16" t="n">
        <v>20</v>
      </c>
      <c r="G63" s="16" t="n">
        <v>20</v>
      </c>
      <c r="H63" s="16" t="n">
        <v>20</v>
      </c>
      <c r="I63" s="16" t="n">
        <v>20</v>
      </c>
      <c r="J63" s="16" t="n">
        <v>20</v>
      </c>
    </row>
  </sheetData>
  <mergeCells count="1">
    <mergeCell ref="B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17" t="n">
        <v>70</v>
      </c>
      <c r="D3" s="17" t="n">
        <v>140</v>
      </c>
      <c r="E3" s="17" t="n">
        <v>230</v>
      </c>
      <c r="F3" s="17" t="n">
        <v>70</v>
      </c>
      <c r="G3" s="17" t="n">
        <v>140</v>
      </c>
      <c r="H3" s="17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17" t="n">
        <v>90</v>
      </c>
      <c r="D4" s="17" t="n">
        <v>240</v>
      </c>
      <c r="E4" s="17" t="n">
        <v>430</v>
      </c>
      <c r="F4" s="17" t="n">
        <v>90</v>
      </c>
      <c r="G4" s="17" t="n">
        <v>340</v>
      </c>
      <c r="H4" s="17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N3-100</f>
        <v/>
      </c>
      <c r="O4">
        <f>O3-300</f>
        <v/>
      </c>
      <c r="P4">
        <f>O4*2</f>
        <v/>
      </c>
    </row>
    <row r="5">
      <c r="B5" t="n">
        <v>3</v>
      </c>
      <c r="C5" s="17" t="n">
        <v>110</v>
      </c>
      <c r="D5" s="17" t="n">
        <v>340</v>
      </c>
      <c r="E5" s="17" t="n">
        <v>630</v>
      </c>
      <c r="F5" s="17" t="n">
        <v>110</v>
      </c>
      <c r="G5" s="17" t="n">
        <v>540</v>
      </c>
      <c r="H5" s="17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N4-100</f>
        <v/>
      </c>
      <c r="O5">
        <f>O4-300</f>
        <v/>
      </c>
      <c r="P5">
        <f>O5*2</f>
        <v/>
      </c>
    </row>
    <row r="6">
      <c r="B6" t="n">
        <v>4</v>
      </c>
      <c r="C6" s="17" t="n">
        <v>130</v>
      </c>
      <c r="D6" s="17" t="n">
        <v>440</v>
      </c>
      <c r="E6" s="17" t="n">
        <v>830</v>
      </c>
      <c r="F6" s="17" t="n">
        <v>130</v>
      </c>
      <c r="G6" s="17" t="n">
        <v>740</v>
      </c>
      <c r="H6" s="17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N5-100</f>
        <v/>
      </c>
      <c r="O6">
        <f>O5-300</f>
        <v/>
      </c>
      <c r="P6">
        <f>O6*2</f>
        <v/>
      </c>
    </row>
    <row r="7">
      <c r="B7" t="n">
        <v>5</v>
      </c>
      <c r="C7" s="17" t="n">
        <v>150</v>
      </c>
      <c r="D7" s="17" t="n">
        <v>540</v>
      </c>
      <c r="E7" s="17" t="n">
        <v>1030</v>
      </c>
      <c r="F7" s="17" t="n">
        <v>150</v>
      </c>
      <c r="G7" s="17" t="n">
        <v>940</v>
      </c>
      <c r="H7" s="17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N6-100</f>
        <v/>
      </c>
      <c r="O7">
        <f>O6-300</f>
        <v/>
      </c>
      <c r="P7">
        <f>O7*2</f>
        <v/>
      </c>
    </row>
    <row r="8">
      <c r="B8" t="n">
        <v>6</v>
      </c>
      <c r="C8" s="17" t="n">
        <v>170</v>
      </c>
      <c r="D8" s="17" t="n">
        <v>640</v>
      </c>
      <c r="E8" s="17" t="n">
        <v>1230</v>
      </c>
      <c r="F8" s="17" t="n">
        <v>170</v>
      </c>
      <c r="G8" s="17" t="n">
        <v>1140</v>
      </c>
      <c r="H8" s="17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N7-100</f>
        <v/>
      </c>
      <c r="O8">
        <f>O7-300</f>
        <v/>
      </c>
      <c r="P8">
        <f>O8*2</f>
        <v/>
      </c>
    </row>
    <row r="9">
      <c r="B9" t="n">
        <v>7</v>
      </c>
      <c r="C9" s="17" t="n">
        <v>190</v>
      </c>
      <c r="D9" s="17" t="n">
        <v>740</v>
      </c>
      <c r="E9" s="17" t="n">
        <v>1430</v>
      </c>
      <c r="F9" s="17" t="n">
        <v>190</v>
      </c>
      <c r="G9" s="17" t="n">
        <v>1340</v>
      </c>
      <c r="H9" s="17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N8-100</f>
        <v/>
      </c>
      <c r="O9">
        <f>O8-300</f>
        <v/>
      </c>
      <c r="P9">
        <f>O9*2</f>
        <v/>
      </c>
    </row>
    <row r="10">
      <c r="A10" s="2" t="inlineStr">
        <is>
          <t>1 H/S</t>
        </is>
      </c>
      <c r="B10" t="n">
        <v>1</v>
      </c>
      <c r="C10" s="17" t="n">
        <v>80</v>
      </c>
      <c r="D10" s="17" t="n">
        <v>160</v>
      </c>
      <c r="E10" s="17" t="n">
        <v>520</v>
      </c>
      <c r="F10" s="17" t="n">
        <v>80</v>
      </c>
      <c r="G10" s="17" t="n">
        <v>160</v>
      </c>
      <c r="H10" s="17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N9-100</f>
        <v/>
      </c>
      <c r="O10">
        <f>O9-300</f>
        <v/>
      </c>
      <c r="P10">
        <f>O10*2</f>
        <v/>
      </c>
    </row>
    <row r="11">
      <c r="B11" t="n">
        <v>2</v>
      </c>
      <c r="C11" s="17" t="n">
        <v>110</v>
      </c>
      <c r="D11" s="17" t="n">
        <v>260</v>
      </c>
      <c r="E11" s="17" t="n">
        <v>720</v>
      </c>
      <c r="F11" s="17" t="n">
        <v>110</v>
      </c>
      <c r="G11" s="17" t="n">
        <v>360</v>
      </c>
      <c r="H11" s="17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N10-100</f>
        <v/>
      </c>
      <c r="O11">
        <f>O10-300</f>
        <v/>
      </c>
      <c r="P11">
        <f>O11*2</f>
        <v/>
      </c>
    </row>
    <row r="12">
      <c r="B12" t="n">
        <v>3</v>
      </c>
      <c r="C12" s="17" t="n">
        <v>140</v>
      </c>
      <c r="D12" s="17" t="n">
        <v>360</v>
      </c>
      <c r="E12" s="17" t="n">
        <v>920</v>
      </c>
      <c r="F12" s="17" t="n">
        <v>140</v>
      </c>
      <c r="G12" s="17" t="n">
        <v>560</v>
      </c>
      <c r="H12" s="17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N11-100</f>
        <v/>
      </c>
      <c r="O12">
        <f>O11-300</f>
        <v/>
      </c>
      <c r="P12">
        <f>O12*2</f>
        <v/>
      </c>
    </row>
    <row r="13">
      <c r="B13" t="n">
        <v>4</v>
      </c>
      <c r="C13" s="17" t="n">
        <v>170</v>
      </c>
      <c r="D13" s="17" t="n">
        <v>460</v>
      </c>
      <c r="E13" s="17" t="n">
        <v>1120</v>
      </c>
      <c r="F13" s="17" t="n">
        <v>170</v>
      </c>
      <c r="G13" s="17" t="n">
        <v>760</v>
      </c>
      <c r="H13" s="17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N12-100</f>
        <v/>
      </c>
      <c r="O13">
        <f>O12-300</f>
        <v/>
      </c>
      <c r="P13">
        <f>O13*2</f>
        <v/>
      </c>
    </row>
    <row r="14">
      <c r="B14" t="n">
        <v>5</v>
      </c>
      <c r="C14" s="17" t="n">
        <v>200</v>
      </c>
      <c r="D14" s="17" t="n">
        <v>560</v>
      </c>
      <c r="E14" s="17" t="n">
        <v>1320</v>
      </c>
      <c r="F14" s="17" t="n">
        <v>200</v>
      </c>
      <c r="G14" s="17" t="n">
        <v>960</v>
      </c>
      <c r="H14" s="17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N13-100</f>
        <v/>
      </c>
      <c r="O14">
        <f>O13-300</f>
        <v/>
      </c>
      <c r="P14">
        <f>O14*2</f>
        <v/>
      </c>
    </row>
    <row r="15">
      <c r="B15" t="n">
        <v>6</v>
      </c>
      <c r="C15" s="17" t="n">
        <v>230</v>
      </c>
      <c r="D15" s="17" t="n">
        <v>660</v>
      </c>
      <c r="E15" s="17" t="n">
        <v>1520</v>
      </c>
      <c r="F15" s="17" t="n">
        <v>230</v>
      </c>
      <c r="G15" s="17" t="n">
        <v>1160</v>
      </c>
      <c r="H15" s="17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N14-100</f>
        <v/>
      </c>
      <c r="O15">
        <f>O14-300</f>
        <v/>
      </c>
      <c r="P15">
        <f>O15*2</f>
        <v/>
      </c>
    </row>
    <row r="16">
      <c r="B16" t="n">
        <v>7</v>
      </c>
      <c r="C16" s="17" t="n">
        <v>260</v>
      </c>
      <c r="D16" s="17" t="n">
        <v>760</v>
      </c>
      <c r="E16" s="17" t="n">
        <v>1720</v>
      </c>
      <c r="F16" s="17" t="n">
        <v>260</v>
      </c>
      <c r="G16" s="17" t="n">
        <v>1360</v>
      </c>
      <c r="H16" s="17" t="n">
        <v>3120</v>
      </c>
    </row>
    <row r="17">
      <c r="A17" s="2" t="inlineStr">
        <is>
          <t>1 NT</t>
        </is>
      </c>
      <c r="B17" t="n">
        <v>1</v>
      </c>
      <c r="C17" s="17" t="n">
        <v>90</v>
      </c>
      <c r="D17" s="17" t="n">
        <v>180</v>
      </c>
      <c r="E17" s="17" t="n">
        <v>560</v>
      </c>
      <c r="F17" s="17" t="n">
        <v>90</v>
      </c>
      <c r="G17" s="17" t="n">
        <v>180</v>
      </c>
      <c r="H17" s="17" t="n">
        <v>760</v>
      </c>
    </row>
    <row r="18">
      <c r="B18" t="n">
        <v>2</v>
      </c>
      <c r="C18" s="17" t="n">
        <v>120</v>
      </c>
      <c r="D18" s="17" t="n">
        <v>280</v>
      </c>
      <c r="E18" s="17" t="n">
        <v>760</v>
      </c>
      <c r="F18" s="17" t="n">
        <v>120</v>
      </c>
      <c r="G18" s="17" t="n">
        <v>380</v>
      </c>
      <c r="H18" s="17" t="n">
        <v>1160</v>
      </c>
    </row>
    <row r="19">
      <c r="B19" t="n">
        <v>3</v>
      </c>
      <c r="C19" s="17" t="n">
        <v>150</v>
      </c>
      <c r="D19" s="17" t="n">
        <v>380</v>
      </c>
      <c r="E19" s="17" t="n">
        <v>960</v>
      </c>
      <c r="F19" s="17" t="n">
        <v>150</v>
      </c>
      <c r="G19" s="17" t="n">
        <v>580</v>
      </c>
      <c r="H19" s="17" t="n">
        <v>1560</v>
      </c>
    </row>
    <row r="20">
      <c r="B20" t="n">
        <v>4</v>
      </c>
      <c r="C20" s="17" t="n">
        <v>180</v>
      </c>
      <c r="D20" s="17" t="n">
        <v>480</v>
      </c>
      <c r="E20" s="17" t="n">
        <v>1160</v>
      </c>
      <c r="F20" s="17" t="n">
        <v>180</v>
      </c>
      <c r="G20" s="17" t="n">
        <v>780</v>
      </c>
      <c r="H20" s="17" t="n">
        <v>1960</v>
      </c>
    </row>
    <row r="21">
      <c r="B21" t="n">
        <v>5</v>
      </c>
      <c r="C21" s="17" t="n">
        <v>210</v>
      </c>
      <c r="D21" s="17" t="n">
        <v>580</v>
      </c>
      <c r="E21" s="17" t="n">
        <v>1360</v>
      </c>
      <c r="F21" s="17" t="n">
        <v>210</v>
      </c>
      <c r="G21" s="17" t="n">
        <v>980</v>
      </c>
      <c r="H21" s="17" t="n">
        <v>2360</v>
      </c>
    </row>
    <row r="22">
      <c r="B22" t="n">
        <v>6</v>
      </c>
      <c r="C22" s="17" t="n">
        <v>240</v>
      </c>
      <c r="D22" s="17" t="n">
        <v>680</v>
      </c>
      <c r="E22" s="17" t="n">
        <v>1560</v>
      </c>
      <c r="F22" s="17" t="n">
        <v>240</v>
      </c>
      <c r="G22" s="17" t="n">
        <v>1180</v>
      </c>
      <c r="H22" s="17" t="n">
        <v>2760</v>
      </c>
    </row>
    <row r="23">
      <c r="B23" t="n">
        <v>7</v>
      </c>
      <c r="C23" s="17" t="n">
        <v>270</v>
      </c>
      <c r="D23" s="17" t="n">
        <v>780</v>
      </c>
      <c r="E23" s="17" t="n">
        <v>1760</v>
      </c>
      <c r="F23" s="17" t="n">
        <v>270</v>
      </c>
      <c r="G23" s="17" t="n">
        <v>1380</v>
      </c>
      <c r="H23" s="17" t="n">
        <v>3160</v>
      </c>
    </row>
    <row r="24">
      <c r="A24" s="2" t="inlineStr">
        <is>
          <t>2 D/C</t>
        </is>
      </c>
      <c r="B24" t="n">
        <v>2</v>
      </c>
      <c r="C24" s="17" t="n">
        <v>90</v>
      </c>
      <c r="D24" s="17" t="n">
        <v>180</v>
      </c>
      <c r="E24" s="17" t="n">
        <v>560</v>
      </c>
      <c r="F24" s="17" t="n">
        <v>90</v>
      </c>
      <c r="G24" s="17" t="n">
        <v>180</v>
      </c>
      <c r="H24" s="17" t="n">
        <v>760</v>
      </c>
    </row>
    <row r="25">
      <c r="B25" t="n">
        <v>3</v>
      </c>
      <c r="C25" s="17" t="n">
        <v>110</v>
      </c>
      <c r="D25" s="17" t="n">
        <v>280</v>
      </c>
      <c r="E25" s="17" t="n">
        <v>760</v>
      </c>
      <c r="F25" s="17" t="n">
        <v>110</v>
      </c>
      <c r="G25" s="17" t="n">
        <v>380</v>
      </c>
      <c r="H25" s="17" t="n">
        <v>1160</v>
      </c>
    </row>
    <row r="26">
      <c r="B26" t="n">
        <v>4</v>
      </c>
      <c r="C26" s="17" t="n">
        <v>130</v>
      </c>
      <c r="D26" s="17" t="n">
        <v>380</v>
      </c>
      <c r="E26" s="17" t="n">
        <v>960</v>
      </c>
      <c r="F26" s="17" t="n">
        <v>130</v>
      </c>
      <c r="G26" s="17" t="n">
        <v>580</v>
      </c>
      <c r="H26" s="17" t="n">
        <v>1560</v>
      </c>
    </row>
    <row r="27">
      <c r="B27" t="n">
        <v>5</v>
      </c>
      <c r="C27" s="17" t="n">
        <v>150</v>
      </c>
      <c r="D27" s="17" t="n">
        <v>480</v>
      </c>
      <c r="E27" s="17" t="n">
        <v>1160</v>
      </c>
      <c r="F27" s="17" t="n">
        <v>150</v>
      </c>
      <c r="G27" s="17" t="n">
        <v>780</v>
      </c>
      <c r="H27" s="17" t="n">
        <v>1960</v>
      </c>
    </row>
    <row r="28">
      <c r="B28" t="n">
        <v>6</v>
      </c>
      <c r="C28" s="17" t="n">
        <v>170</v>
      </c>
      <c r="D28" s="17" t="n">
        <v>580</v>
      </c>
      <c r="E28" s="17" t="n">
        <v>1360</v>
      </c>
      <c r="F28" s="17" t="n">
        <v>170</v>
      </c>
      <c r="G28" s="17" t="n">
        <v>980</v>
      </c>
      <c r="H28" s="17" t="n">
        <v>2360</v>
      </c>
    </row>
    <row r="29">
      <c r="B29" t="n">
        <v>7</v>
      </c>
      <c r="C29" s="17" t="n">
        <v>190</v>
      </c>
      <c r="D29" s="17" t="n">
        <v>680</v>
      </c>
      <c r="E29" s="17" t="n">
        <v>1560</v>
      </c>
      <c r="F29" s="17" t="n">
        <v>190</v>
      </c>
      <c r="G29" s="17" t="n">
        <v>1180</v>
      </c>
      <c r="H29" s="17" t="n">
        <v>2760</v>
      </c>
    </row>
    <row r="30">
      <c r="A30" s="2" t="inlineStr">
        <is>
          <t>2 H/S</t>
        </is>
      </c>
      <c r="B30" t="n">
        <v>2</v>
      </c>
      <c r="C30" s="17" t="n">
        <v>110</v>
      </c>
      <c r="D30" s="17" t="n">
        <v>470</v>
      </c>
      <c r="E30" s="17" t="n">
        <v>640</v>
      </c>
      <c r="F30" s="17" t="n">
        <v>110</v>
      </c>
      <c r="G30" s="17" t="n">
        <v>670</v>
      </c>
      <c r="H30" s="17" t="n">
        <v>840</v>
      </c>
    </row>
    <row r="31">
      <c r="B31" t="n">
        <v>3</v>
      </c>
      <c r="C31" s="17" t="n">
        <v>140</v>
      </c>
      <c r="D31" s="17" t="n">
        <v>570</v>
      </c>
      <c r="E31" s="17" t="n">
        <v>840</v>
      </c>
      <c r="F31" s="17" t="n">
        <v>140</v>
      </c>
      <c r="G31" s="17" t="n">
        <v>870</v>
      </c>
      <c r="H31" s="17" t="n">
        <v>1240</v>
      </c>
    </row>
    <row r="32">
      <c r="B32" t="n">
        <v>4</v>
      </c>
      <c r="C32" s="17" t="n">
        <v>170</v>
      </c>
      <c r="D32" s="17" t="n">
        <v>670</v>
      </c>
      <c r="E32" s="17" t="n">
        <v>1040</v>
      </c>
      <c r="F32" s="17" t="n">
        <v>170</v>
      </c>
      <c r="G32" s="17" t="n">
        <v>1070</v>
      </c>
      <c r="H32" s="17" t="n">
        <v>1640</v>
      </c>
    </row>
    <row r="33">
      <c r="B33" t="n">
        <v>5</v>
      </c>
      <c r="C33" s="17" t="n">
        <v>200</v>
      </c>
      <c r="D33" s="17" t="n">
        <v>770</v>
      </c>
      <c r="E33" s="17" t="n">
        <v>1240</v>
      </c>
      <c r="F33" s="17" t="n">
        <v>200</v>
      </c>
      <c r="G33" s="17" t="n">
        <v>1270</v>
      </c>
      <c r="H33" s="17" t="n">
        <v>2040</v>
      </c>
    </row>
    <row r="34">
      <c r="B34" t="n">
        <v>6</v>
      </c>
      <c r="C34" s="17" t="n">
        <v>230</v>
      </c>
      <c r="D34" s="17" t="n">
        <v>870</v>
      </c>
      <c r="E34" s="17" t="n">
        <v>1440</v>
      </c>
      <c r="F34" s="17" t="n">
        <v>230</v>
      </c>
      <c r="G34" s="17" t="n">
        <v>1470</v>
      </c>
      <c r="H34" s="17" t="n">
        <v>2440</v>
      </c>
    </row>
    <row r="35">
      <c r="B35" t="n">
        <v>7</v>
      </c>
      <c r="C35" s="17" t="n">
        <v>260</v>
      </c>
      <c r="D35" s="17" t="n">
        <v>970</v>
      </c>
      <c r="E35" s="17" t="n">
        <v>1640</v>
      </c>
      <c r="F35" s="17" t="n">
        <v>260</v>
      </c>
      <c r="G35" s="17" t="n">
        <v>1670</v>
      </c>
      <c r="H35" s="17" t="n">
        <v>2840</v>
      </c>
    </row>
    <row r="36">
      <c r="A36" s="2" t="inlineStr">
        <is>
          <t>2 NT</t>
        </is>
      </c>
      <c r="B36" t="n">
        <v>2</v>
      </c>
      <c r="C36" s="17" t="n">
        <v>120</v>
      </c>
      <c r="D36" s="17" t="n">
        <v>490</v>
      </c>
      <c r="E36" s="17" t="n">
        <v>680</v>
      </c>
      <c r="F36" s="17" t="n">
        <v>120</v>
      </c>
      <c r="G36" s="17" t="n">
        <v>690</v>
      </c>
      <c r="H36" s="17" t="n">
        <v>880</v>
      </c>
    </row>
    <row r="37">
      <c r="B37" t="n">
        <v>3</v>
      </c>
      <c r="C37" s="17" t="n">
        <v>150</v>
      </c>
      <c r="D37" s="17" t="n">
        <v>590</v>
      </c>
      <c r="E37" s="17" t="n">
        <v>880</v>
      </c>
      <c r="F37" s="17" t="n">
        <v>150</v>
      </c>
      <c r="G37" s="17" t="n">
        <v>890</v>
      </c>
      <c r="H37" s="17" t="n">
        <v>1280</v>
      </c>
    </row>
    <row r="38">
      <c r="B38" t="n">
        <v>4</v>
      </c>
      <c r="C38" s="17" t="n">
        <v>180</v>
      </c>
      <c r="D38" s="17" t="n">
        <v>690</v>
      </c>
      <c r="E38" s="17" t="n">
        <v>1080</v>
      </c>
      <c r="F38" s="17" t="n">
        <v>180</v>
      </c>
      <c r="G38" s="17" t="n">
        <v>1090</v>
      </c>
      <c r="H38" s="17" t="n">
        <v>1680</v>
      </c>
    </row>
    <row r="39">
      <c r="B39" t="n">
        <v>5</v>
      </c>
      <c r="C39" s="17" t="n">
        <v>210</v>
      </c>
      <c r="D39" s="17" t="n">
        <v>790</v>
      </c>
      <c r="E39" s="17" t="n">
        <v>1280</v>
      </c>
      <c r="F39" s="17" t="n">
        <v>210</v>
      </c>
      <c r="G39" s="17" t="n">
        <v>1290</v>
      </c>
      <c r="H39" s="17" t="n">
        <v>2080</v>
      </c>
    </row>
    <row r="40">
      <c r="B40" t="n">
        <v>6</v>
      </c>
      <c r="C40" s="17" t="n">
        <v>240</v>
      </c>
      <c r="D40" s="17" t="n">
        <v>890</v>
      </c>
      <c r="E40" s="17" t="n">
        <v>1480</v>
      </c>
      <c r="F40" s="17" t="n">
        <v>240</v>
      </c>
      <c r="G40" s="17" t="n">
        <v>1490</v>
      </c>
      <c r="H40" s="17" t="n">
        <v>2480</v>
      </c>
    </row>
    <row r="41">
      <c r="B41" t="n">
        <v>7</v>
      </c>
      <c r="C41" s="17" t="n">
        <v>270</v>
      </c>
      <c r="D41" s="17" t="n">
        <v>990</v>
      </c>
      <c r="E41" s="17" t="n">
        <v>1680</v>
      </c>
      <c r="F41" s="17" t="n">
        <v>270</v>
      </c>
      <c r="G41" s="17" t="n">
        <v>1690</v>
      </c>
      <c r="H41" s="17" t="n">
        <v>2880</v>
      </c>
    </row>
    <row r="42">
      <c r="A42" s="2" t="inlineStr">
        <is>
          <t>3 D/C</t>
        </is>
      </c>
      <c r="B42" t="n">
        <v>3</v>
      </c>
      <c r="C42" s="17" t="n">
        <v>110</v>
      </c>
      <c r="D42" s="17" t="n">
        <v>470</v>
      </c>
      <c r="E42" s="17" t="n">
        <v>640</v>
      </c>
      <c r="F42" s="17" t="n">
        <v>110</v>
      </c>
      <c r="G42" s="17" t="n">
        <v>670</v>
      </c>
      <c r="H42" s="17" t="n">
        <v>840</v>
      </c>
    </row>
    <row r="43">
      <c r="B43" t="n">
        <v>4</v>
      </c>
      <c r="C43" s="17" t="n">
        <v>130</v>
      </c>
      <c r="D43" s="17" t="n">
        <v>570</v>
      </c>
      <c r="E43" s="17" t="n">
        <v>840</v>
      </c>
      <c r="F43" s="17" t="n">
        <v>130</v>
      </c>
      <c r="G43" s="17" t="n">
        <v>870</v>
      </c>
      <c r="H43" s="17" t="n">
        <v>1240</v>
      </c>
    </row>
    <row r="44">
      <c r="B44" t="n">
        <v>5</v>
      </c>
      <c r="C44" s="17" t="n">
        <v>150</v>
      </c>
      <c r="D44" s="17" t="n">
        <v>670</v>
      </c>
      <c r="E44" s="17" t="n">
        <v>1040</v>
      </c>
      <c r="F44" s="17" t="n">
        <v>150</v>
      </c>
      <c r="G44" s="17" t="n">
        <v>1070</v>
      </c>
      <c r="H44" s="17" t="n">
        <v>1640</v>
      </c>
    </row>
    <row r="45">
      <c r="B45" t="n">
        <v>6</v>
      </c>
      <c r="C45" s="17" t="n">
        <v>170</v>
      </c>
      <c r="D45" s="17" t="n">
        <v>770</v>
      </c>
      <c r="E45" s="17" t="n">
        <v>1240</v>
      </c>
      <c r="F45" s="17" t="n">
        <v>170</v>
      </c>
      <c r="G45" s="17" t="n">
        <v>1270</v>
      </c>
      <c r="H45" s="17" t="n">
        <v>2040</v>
      </c>
    </row>
    <row r="46">
      <c r="B46" t="n">
        <v>7</v>
      </c>
      <c r="C46" s="17" t="n">
        <v>190</v>
      </c>
      <c r="D46" s="17" t="n">
        <v>870</v>
      </c>
      <c r="E46" s="17" t="n">
        <v>1440</v>
      </c>
      <c r="F46" s="17" t="n">
        <v>190</v>
      </c>
      <c r="G46" s="17" t="n">
        <v>1470</v>
      </c>
      <c r="H46" s="17" t="n">
        <v>2440</v>
      </c>
    </row>
    <row r="47">
      <c r="A47" s="2" t="inlineStr">
        <is>
          <t>3 H/S</t>
        </is>
      </c>
      <c r="B47" t="n">
        <v>3</v>
      </c>
      <c r="C47" s="17" t="n">
        <v>140</v>
      </c>
      <c r="D47" s="17" t="n">
        <v>530</v>
      </c>
      <c r="E47" s="17" t="n">
        <v>760</v>
      </c>
      <c r="F47" s="17" t="n">
        <v>140</v>
      </c>
      <c r="G47" s="17" t="n">
        <v>730</v>
      </c>
      <c r="H47" s="17" t="n">
        <v>960</v>
      </c>
    </row>
    <row r="48">
      <c r="B48" t="n">
        <v>4</v>
      </c>
      <c r="C48" s="17" t="n">
        <v>170</v>
      </c>
      <c r="D48" s="17" t="n">
        <v>630</v>
      </c>
      <c r="E48" s="17" t="n">
        <v>960</v>
      </c>
      <c r="F48" s="17" t="n">
        <v>170</v>
      </c>
      <c r="G48" s="17" t="n">
        <v>930</v>
      </c>
      <c r="H48" s="17" t="n">
        <v>1360</v>
      </c>
    </row>
    <row r="49">
      <c r="B49" t="n">
        <v>5</v>
      </c>
      <c r="C49" s="17" t="n">
        <v>200</v>
      </c>
      <c r="D49" s="17" t="n">
        <v>730</v>
      </c>
      <c r="E49" s="17" t="n">
        <v>1160</v>
      </c>
      <c r="F49" s="17" t="n">
        <v>200</v>
      </c>
      <c r="G49" s="17" t="n">
        <v>1130</v>
      </c>
      <c r="H49" s="17" t="n">
        <v>1760</v>
      </c>
    </row>
    <row r="50">
      <c r="B50" t="n">
        <v>6</v>
      </c>
      <c r="C50" s="17" t="n">
        <v>230</v>
      </c>
      <c r="D50" s="17" t="n">
        <v>830</v>
      </c>
      <c r="E50" s="17" t="n">
        <v>1360</v>
      </c>
      <c r="F50" s="17" t="n">
        <v>230</v>
      </c>
      <c r="G50" s="17" t="n">
        <v>1330</v>
      </c>
      <c r="H50" s="17" t="n">
        <v>2160</v>
      </c>
    </row>
    <row r="51">
      <c r="B51" t="n">
        <v>7</v>
      </c>
      <c r="C51" s="17" t="n">
        <v>260</v>
      </c>
      <c r="D51" s="17" t="n">
        <v>930</v>
      </c>
      <c r="E51" s="17" t="n">
        <v>1560</v>
      </c>
      <c r="F51" s="17" t="n">
        <v>260</v>
      </c>
      <c r="G51" s="17" t="n">
        <v>1530</v>
      </c>
      <c r="H51" s="17" t="n">
        <v>2560</v>
      </c>
    </row>
    <row r="52">
      <c r="A52" s="2" t="inlineStr">
        <is>
          <t>3 NT</t>
        </is>
      </c>
      <c r="B52" t="n">
        <v>3</v>
      </c>
      <c r="C52" s="17" t="n">
        <v>400</v>
      </c>
      <c r="D52" s="17" t="n">
        <v>550</v>
      </c>
      <c r="E52" s="17" t="n">
        <v>800</v>
      </c>
      <c r="F52" s="17" t="n">
        <v>600</v>
      </c>
      <c r="G52" s="17" t="n">
        <v>750</v>
      </c>
      <c r="H52" s="17" t="n">
        <v>1000</v>
      </c>
    </row>
    <row r="53">
      <c r="B53" t="n">
        <v>4</v>
      </c>
      <c r="C53" s="17" t="n">
        <v>430</v>
      </c>
      <c r="D53" s="17" t="n">
        <v>650</v>
      </c>
      <c r="E53" s="17" t="n">
        <v>1000</v>
      </c>
      <c r="F53" s="17" t="n">
        <v>630</v>
      </c>
      <c r="G53" s="17" t="n">
        <v>950</v>
      </c>
      <c r="H53" s="17" t="n">
        <v>1400</v>
      </c>
    </row>
    <row r="54">
      <c r="B54" t="n">
        <v>5</v>
      </c>
      <c r="C54" s="17" t="n">
        <v>460</v>
      </c>
      <c r="D54" s="17" t="n">
        <v>750</v>
      </c>
      <c r="E54" s="17" t="n">
        <v>1200</v>
      </c>
      <c r="F54" s="17" t="n">
        <v>660</v>
      </c>
      <c r="G54" s="17" t="n">
        <v>1150</v>
      </c>
      <c r="H54" s="17" t="n">
        <v>1800</v>
      </c>
    </row>
    <row r="55">
      <c r="B55" t="n">
        <v>6</v>
      </c>
      <c r="C55" s="17" t="n">
        <v>490</v>
      </c>
      <c r="D55" s="17" t="n">
        <v>850</v>
      </c>
      <c r="E55" s="17" t="n">
        <v>1400</v>
      </c>
      <c r="F55" s="17" t="n">
        <v>690</v>
      </c>
      <c r="G55" s="17" t="n">
        <v>1350</v>
      </c>
      <c r="H55" s="17" t="n">
        <v>2200</v>
      </c>
    </row>
    <row r="56">
      <c r="B56" t="n">
        <v>7</v>
      </c>
      <c r="C56" s="17" t="n">
        <v>520</v>
      </c>
      <c r="D56" s="17" t="n">
        <v>950</v>
      </c>
      <c r="E56" s="17" t="n">
        <v>1600</v>
      </c>
      <c r="F56" s="17" t="n">
        <v>720</v>
      </c>
      <c r="G56" s="17" t="n">
        <v>1550</v>
      </c>
      <c r="H56" s="17" t="n">
        <v>2600</v>
      </c>
    </row>
    <row r="57">
      <c r="A57" s="2" t="inlineStr">
        <is>
          <t>4 D/C</t>
        </is>
      </c>
      <c r="B57" t="n">
        <v>4</v>
      </c>
      <c r="C57" s="17" t="n">
        <v>130</v>
      </c>
      <c r="D57" s="17" t="n">
        <v>510</v>
      </c>
      <c r="E57" s="17" t="n">
        <v>720</v>
      </c>
      <c r="F57" s="17" t="n">
        <v>130</v>
      </c>
      <c r="G57" s="17" t="n">
        <v>710</v>
      </c>
      <c r="H57" s="17" t="n">
        <v>920</v>
      </c>
    </row>
    <row r="58">
      <c r="B58" t="n">
        <v>5</v>
      </c>
      <c r="C58" s="17" t="n">
        <v>150</v>
      </c>
      <c r="D58" s="17" t="n">
        <v>610</v>
      </c>
      <c r="E58" s="17" t="n">
        <v>920</v>
      </c>
      <c r="F58" s="17" t="n">
        <v>150</v>
      </c>
      <c r="G58" s="17" t="n">
        <v>910</v>
      </c>
      <c r="H58" s="17" t="n">
        <v>1320</v>
      </c>
    </row>
    <row r="59">
      <c r="B59" t="n">
        <v>6</v>
      </c>
      <c r="C59" s="17" t="n">
        <v>170</v>
      </c>
      <c r="D59" s="17" t="n">
        <v>710</v>
      </c>
      <c r="E59" s="17" t="n">
        <v>1120</v>
      </c>
      <c r="F59" s="17" t="n">
        <v>170</v>
      </c>
      <c r="G59" s="17" t="n">
        <v>1110</v>
      </c>
      <c r="H59" s="17" t="n">
        <v>1720</v>
      </c>
    </row>
    <row r="60">
      <c r="B60" t="n">
        <v>7</v>
      </c>
      <c r="C60" s="17" t="n">
        <v>190</v>
      </c>
      <c r="D60" s="17" t="n">
        <v>810</v>
      </c>
      <c r="E60" s="17" t="n">
        <v>1320</v>
      </c>
      <c r="F60" s="17" t="n">
        <v>190</v>
      </c>
      <c r="G60" s="17" t="n">
        <v>1310</v>
      </c>
      <c r="H60" s="17" t="n">
        <v>2120</v>
      </c>
    </row>
    <row r="61">
      <c r="A61" s="2" t="inlineStr">
        <is>
          <t>4 H/S</t>
        </is>
      </c>
      <c r="B61" t="n">
        <v>4</v>
      </c>
      <c r="C61" s="17" t="n">
        <v>420</v>
      </c>
      <c r="D61" s="17" t="n">
        <v>590</v>
      </c>
      <c r="E61" s="17" t="n">
        <v>880</v>
      </c>
      <c r="F61" s="17" t="n">
        <v>620</v>
      </c>
      <c r="G61" s="17" t="n">
        <v>790</v>
      </c>
      <c r="H61" s="17" t="n">
        <v>1080</v>
      </c>
    </row>
    <row r="62">
      <c r="B62" t="n">
        <v>5</v>
      </c>
      <c r="C62" s="17" t="n">
        <v>450</v>
      </c>
      <c r="D62" s="17" t="n">
        <v>690</v>
      </c>
      <c r="E62" s="17" t="n">
        <v>1080</v>
      </c>
      <c r="F62" s="17" t="n">
        <v>650</v>
      </c>
      <c r="G62" s="17" t="n">
        <v>990</v>
      </c>
      <c r="H62" s="17" t="n">
        <v>1480</v>
      </c>
    </row>
    <row r="63">
      <c r="B63" t="n">
        <v>6</v>
      </c>
      <c r="C63" s="17" t="n">
        <v>480</v>
      </c>
      <c r="D63" s="17" t="n">
        <v>790</v>
      </c>
      <c r="E63" s="17" t="n">
        <v>1280</v>
      </c>
      <c r="F63" s="17" t="n">
        <v>680</v>
      </c>
      <c r="G63" s="17" t="n">
        <v>1190</v>
      </c>
      <c r="H63" s="17" t="n">
        <v>1880</v>
      </c>
    </row>
    <row r="64">
      <c r="B64" t="n">
        <v>7</v>
      </c>
      <c r="C64" s="17" t="n">
        <v>510</v>
      </c>
      <c r="D64" s="17" t="n">
        <v>890</v>
      </c>
      <c r="E64" s="17" t="n">
        <v>1480</v>
      </c>
      <c r="F64" s="17" t="n">
        <v>710</v>
      </c>
      <c r="G64" s="17" t="n">
        <v>1390</v>
      </c>
      <c r="H64" s="17" t="n">
        <v>2280</v>
      </c>
    </row>
    <row r="65">
      <c r="A65" s="2" t="inlineStr">
        <is>
          <t>4 NT</t>
        </is>
      </c>
      <c r="B65" t="n">
        <v>4</v>
      </c>
      <c r="C65" s="17" t="n">
        <v>430</v>
      </c>
      <c r="D65" s="17" t="n">
        <v>610</v>
      </c>
      <c r="E65" s="17" t="n">
        <v>920</v>
      </c>
      <c r="F65" s="17" t="n">
        <v>630</v>
      </c>
      <c r="G65" s="17" t="n">
        <v>810</v>
      </c>
      <c r="H65" s="17" t="n">
        <v>1120</v>
      </c>
    </row>
    <row r="66">
      <c r="B66" t="n">
        <v>5</v>
      </c>
      <c r="C66" s="17" t="n">
        <v>460</v>
      </c>
      <c r="D66" s="17" t="n">
        <v>710</v>
      </c>
      <c r="E66" s="17" t="n">
        <v>1120</v>
      </c>
      <c r="F66" s="17" t="n">
        <v>660</v>
      </c>
      <c r="G66" s="17" t="n">
        <v>1010</v>
      </c>
      <c r="H66" s="17" t="n">
        <v>1520</v>
      </c>
    </row>
    <row r="67">
      <c r="B67" t="n">
        <v>6</v>
      </c>
      <c r="C67" s="17" t="n">
        <v>490</v>
      </c>
      <c r="D67" s="17" t="n">
        <v>810</v>
      </c>
      <c r="E67" s="17" t="n">
        <v>1320</v>
      </c>
      <c r="F67" s="17" t="n">
        <v>690</v>
      </c>
      <c r="G67" s="17" t="n">
        <v>1210</v>
      </c>
      <c r="H67" s="17" t="n">
        <v>1920</v>
      </c>
    </row>
    <row r="68">
      <c r="B68" t="n">
        <v>7</v>
      </c>
      <c r="C68" s="17" t="n">
        <v>520</v>
      </c>
      <c r="D68" s="17" t="n">
        <v>910</v>
      </c>
      <c r="E68" s="17" t="n">
        <v>1520</v>
      </c>
      <c r="F68" s="17" t="n">
        <v>720</v>
      </c>
      <c r="G68" s="17" t="n">
        <v>1410</v>
      </c>
      <c r="H68" s="17" t="n">
        <v>2320</v>
      </c>
    </row>
    <row r="69">
      <c r="A69" s="2" t="inlineStr">
        <is>
          <t>5 D/C</t>
        </is>
      </c>
      <c r="B69" t="n">
        <v>5</v>
      </c>
      <c r="C69" s="17" t="n">
        <v>400</v>
      </c>
      <c r="D69" s="17" t="n">
        <v>550</v>
      </c>
      <c r="E69" s="17" t="n">
        <v>800</v>
      </c>
      <c r="F69" s="17" t="n">
        <v>600</v>
      </c>
      <c r="G69" s="17" t="n">
        <v>750</v>
      </c>
      <c r="H69" s="17" t="n">
        <v>1000</v>
      </c>
    </row>
    <row r="70">
      <c r="B70" t="n">
        <v>6</v>
      </c>
      <c r="C70" s="17" t="n">
        <v>420</v>
      </c>
      <c r="D70" s="17" t="n">
        <v>650</v>
      </c>
      <c r="E70" s="17" t="n">
        <v>1000</v>
      </c>
      <c r="F70" s="17" t="n">
        <v>620</v>
      </c>
      <c r="G70" s="17" t="n">
        <v>950</v>
      </c>
      <c r="H70" s="17" t="n">
        <v>1400</v>
      </c>
    </row>
    <row r="71">
      <c r="B71" t="n">
        <v>7</v>
      </c>
      <c r="C71" s="17" t="n">
        <v>440</v>
      </c>
      <c r="D71" s="17" t="n">
        <v>750</v>
      </c>
      <c r="E71" s="17" t="n">
        <v>1200</v>
      </c>
      <c r="F71" s="17" t="n">
        <v>640</v>
      </c>
      <c r="G71" s="17" t="n">
        <v>1150</v>
      </c>
      <c r="H71" s="17" t="n">
        <v>1800</v>
      </c>
    </row>
    <row r="72">
      <c r="A72" s="2" t="inlineStr">
        <is>
          <t>5 H/S</t>
        </is>
      </c>
      <c r="B72" t="n">
        <v>5</v>
      </c>
      <c r="C72" s="17" t="n">
        <v>450</v>
      </c>
      <c r="D72" s="17" t="n">
        <v>650</v>
      </c>
      <c r="E72" s="17" t="n">
        <v>1000</v>
      </c>
      <c r="F72" s="17" t="n">
        <v>650</v>
      </c>
      <c r="G72" s="17" t="n">
        <v>850</v>
      </c>
      <c r="H72" s="17" t="n">
        <v>1200</v>
      </c>
    </row>
    <row r="73">
      <c r="B73" t="n">
        <v>6</v>
      </c>
      <c r="C73" s="17" t="n">
        <v>480</v>
      </c>
      <c r="D73" s="17" t="n">
        <v>750</v>
      </c>
      <c r="E73" s="17" t="n">
        <v>1200</v>
      </c>
      <c r="F73" s="17" t="n">
        <v>680</v>
      </c>
      <c r="G73" s="17" t="n">
        <v>1050</v>
      </c>
      <c r="H73" s="17" t="n">
        <v>1600</v>
      </c>
    </row>
    <row r="74">
      <c r="B74" t="n">
        <v>7</v>
      </c>
      <c r="C74" s="17" t="n">
        <v>510</v>
      </c>
      <c r="D74" s="17" t="n">
        <v>850</v>
      </c>
      <c r="E74" s="17" t="n">
        <v>1400</v>
      </c>
      <c r="F74" s="17" t="n">
        <v>710</v>
      </c>
      <c r="G74" s="17" t="n">
        <v>1250</v>
      </c>
      <c r="H74" s="17" t="n">
        <v>2000</v>
      </c>
    </row>
    <row r="75">
      <c r="A75" s="2" t="inlineStr">
        <is>
          <t>5 NT</t>
        </is>
      </c>
      <c r="B75" t="n">
        <v>5</v>
      </c>
      <c r="C75" s="17" t="n">
        <v>460</v>
      </c>
      <c r="D75" s="17" t="n">
        <v>670</v>
      </c>
      <c r="E75" s="17" t="n">
        <v>1040</v>
      </c>
      <c r="F75" s="17" t="n">
        <v>660</v>
      </c>
      <c r="G75" s="17" t="n">
        <v>870</v>
      </c>
      <c r="H75" s="17" t="n">
        <v>1240</v>
      </c>
    </row>
    <row r="76">
      <c r="B76" t="n">
        <v>6</v>
      </c>
      <c r="C76" s="17" t="n">
        <v>490</v>
      </c>
      <c r="D76" s="17" t="n">
        <v>770</v>
      </c>
      <c r="E76" s="17" t="n">
        <v>1240</v>
      </c>
      <c r="F76" s="17" t="n">
        <v>690</v>
      </c>
      <c r="G76" s="17" t="n">
        <v>1070</v>
      </c>
      <c r="H76" s="17" t="n">
        <v>1640</v>
      </c>
    </row>
    <row r="77">
      <c r="B77" t="n">
        <v>7</v>
      </c>
      <c r="C77" s="17" t="n">
        <v>520</v>
      </c>
      <c r="D77" s="17" t="n">
        <v>870</v>
      </c>
      <c r="E77" s="17" t="n">
        <v>1440</v>
      </c>
      <c r="F77" s="17" t="n">
        <v>720</v>
      </c>
      <c r="G77" s="17" t="n">
        <v>1270</v>
      </c>
      <c r="H77" s="17" t="n">
        <v>2040</v>
      </c>
    </row>
    <row r="78">
      <c r="A78" s="2" t="inlineStr">
        <is>
          <t>6 D/C</t>
        </is>
      </c>
      <c r="B78" t="n">
        <v>6</v>
      </c>
      <c r="C78" s="17" t="n">
        <v>920</v>
      </c>
      <c r="D78" s="17" t="n">
        <v>1090</v>
      </c>
      <c r="E78" s="17" t="n">
        <v>1380</v>
      </c>
      <c r="F78" s="17" t="n">
        <v>1370</v>
      </c>
      <c r="G78" s="17" t="n">
        <v>1540</v>
      </c>
      <c r="H78" s="17" t="n">
        <v>1830</v>
      </c>
    </row>
    <row r="79">
      <c r="B79" t="n">
        <v>7</v>
      </c>
      <c r="C79" s="17" t="n">
        <v>940</v>
      </c>
      <c r="D79" s="17" t="n">
        <v>1190</v>
      </c>
      <c r="E79" s="17" t="n">
        <v>1580</v>
      </c>
      <c r="F79" s="17" t="n">
        <v>1390</v>
      </c>
      <c r="G79" s="17" t="n">
        <v>1740</v>
      </c>
      <c r="H79" s="17" t="n">
        <v>2230</v>
      </c>
    </row>
    <row r="80">
      <c r="A80" s="2" t="inlineStr">
        <is>
          <t>6 H/S</t>
        </is>
      </c>
      <c r="B80" t="n">
        <v>6</v>
      </c>
      <c r="C80" s="17" t="n">
        <v>980</v>
      </c>
      <c r="D80" s="17" t="n">
        <v>1210</v>
      </c>
      <c r="E80" s="17" t="n">
        <v>1620</v>
      </c>
      <c r="F80" s="17" t="n">
        <v>1430</v>
      </c>
      <c r="G80" s="17" t="n">
        <v>1660</v>
      </c>
      <c r="H80" s="17" t="n">
        <v>2070</v>
      </c>
    </row>
    <row r="81">
      <c r="B81" t="n">
        <v>7</v>
      </c>
      <c r="C81" s="17" t="n">
        <v>1010</v>
      </c>
      <c r="D81" s="17" t="n">
        <v>1310</v>
      </c>
      <c r="E81" s="17" t="n">
        <v>1820</v>
      </c>
      <c r="F81" s="17" t="n">
        <v>1460</v>
      </c>
      <c r="G81" s="17" t="n">
        <v>1860</v>
      </c>
      <c r="H81" s="17" t="n">
        <v>2470</v>
      </c>
    </row>
    <row r="82">
      <c r="A82" s="2" t="inlineStr">
        <is>
          <t>6 NT</t>
        </is>
      </c>
      <c r="B82" t="n">
        <v>6</v>
      </c>
      <c r="C82" s="17" t="n">
        <v>990</v>
      </c>
      <c r="D82" s="17" t="n">
        <v>1230</v>
      </c>
      <c r="E82" s="17" t="n">
        <v>1660</v>
      </c>
      <c r="F82" s="17" t="n">
        <v>1440</v>
      </c>
      <c r="G82" s="17" t="n">
        <v>1680</v>
      </c>
      <c r="H82" s="17" t="n">
        <v>2110</v>
      </c>
    </row>
    <row r="83">
      <c r="B83" t="n">
        <v>7</v>
      </c>
      <c r="C83" s="17" t="n">
        <v>1020</v>
      </c>
      <c r="D83" s="17" t="n">
        <v>1330</v>
      </c>
      <c r="E83" s="17" t="n">
        <v>1860</v>
      </c>
      <c r="F83" s="17" t="n">
        <v>1470</v>
      </c>
      <c r="G83" s="17" t="n">
        <v>1880</v>
      </c>
      <c r="H83" s="17" t="n">
        <v>2510</v>
      </c>
    </row>
    <row r="84">
      <c r="A84" s="2" t="inlineStr">
        <is>
          <t>7 D/C</t>
        </is>
      </c>
      <c r="B84" t="n">
        <v>7</v>
      </c>
      <c r="C84" s="17" t="n">
        <v>1440</v>
      </c>
      <c r="D84" s="17" t="n">
        <v>1630</v>
      </c>
      <c r="E84" s="17" t="n">
        <v>1960</v>
      </c>
      <c r="F84" s="17" t="n">
        <v>2140</v>
      </c>
      <c r="G84" s="17" t="n">
        <v>2330</v>
      </c>
      <c r="H84" s="17" t="n">
        <v>2660</v>
      </c>
    </row>
    <row r="85">
      <c r="A85" s="2" t="inlineStr">
        <is>
          <t>7 H/S</t>
        </is>
      </c>
      <c r="B85" t="n">
        <v>7</v>
      </c>
      <c r="C85" s="17" t="n">
        <v>1510</v>
      </c>
      <c r="D85" s="17" t="n">
        <v>1770</v>
      </c>
      <c r="E85" s="17" t="n">
        <v>2240</v>
      </c>
      <c r="F85" s="17" t="n">
        <v>2210</v>
      </c>
      <c r="G85" s="17" t="n">
        <v>2470</v>
      </c>
      <c r="H85" s="17" t="n">
        <v>2940</v>
      </c>
    </row>
    <row r="86">
      <c r="A86" s="2" t="inlineStr">
        <is>
          <t>7 NT</t>
        </is>
      </c>
      <c r="B86" t="n">
        <v>7</v>
      </c>
      <c r="C86" s="17" t="n">
        <v>1520</v>
      </c>
      <c r="D86" s="17" t="n">
        <v>1790</v>
      </c>
      <c r="E86" s="17" t="n">
        <v>2280</v>
      </c>
      <c r="F86" s="17" t="n">
        <v>2220</v>
      </c>
      <c r="G86" s="17" t="n">
        <v>2490</v>
      </c>
      <c r="H86" s="17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2026-09-06T17:18:38Z</dcterms:created>
  <dcterms:modified xsi:type="dcterms:W3CDTF">2026-09-06T17:18:38Z</dcterms:modified>
</cp:coreProperties>
</file>