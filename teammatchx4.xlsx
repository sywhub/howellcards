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IMP Table" sheetId="3" state="visible" r:id="rId3"/>
    <sheet name="Scoring Tab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0.0"/>
    <numFmt numFmtId="165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0" pivotButton="0" quotePrefix="0" xfId="0"/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Jul 29, 2026.</t>
        </is>
      </c>
    </row>
    <row r="2">
      <c r="A2" s="2" t="inlineStr">
        <is>
          <t>Team Match, 4 boards round</t>
        </is>
      </c>
    </row>
    <row r="3">
      <c r="A3" s="3" t="inlineStr">
        <is>
          <t>Rounds</t>
        </is>
      </c>
      <c r="C3" s="3" t="n">
        <v>4</v>
      </c>
    </row>
    <row r="4">
      <c r="A4" s="3" t="inlineStr">
        <is>
          <t>Boards per Round</t>
        </is>
      </c>
      <c r="C4" s="3" t="n">
        <v>4</v>
      </c>
    </row>
    <row r="6">
      <c r="B6" s="2" t="inlineStr">
        <is>
          <t>Team 1</t>
        </is>
      </c>
    </row>
    <row r="7">
      <c r="A7" s="2" t="n">
        <v>1</v>
      </c>
      <c r="B7" t="inlineStr">
        <is>
          <t>Name 84</t>
        </is>
      </c>
      <c r="C7" t="inlineStr">
        <is>
          <t>Name 53</t>
        </is>
      </c>
    </row>
    <row r="8">
      <c r="A8" s="4" t="n">
        <v>2</v>
      </c>
      <c r="B8" s="5" t="inlineStr">
        <is>
          <t>Name 74</t>
        </is>
      </c>
      <c r="C8" s="5" t="inlineStr">
        <is>
          <t>Name 57</t>
        </is>
      </c>
      <c r="D8" s="5" t="n"/>
    </row>
    <row r="9">
      <c r="C9" s="2" t="inlineStr">
        <is>
          <t>IMP Sum</t>
        </is>
      </c>
      <c r="D9" s="6">
        <f>SUMIF('By Board'!D3:D34,"="&amp;A7,'By Board'!L3:L34)+SUMIF('By Board'!D3:D34,"="&amp;A8,'By Board'!L3:L34)</f>
        <v/>
      </c>
    </row>
    <row r="11">
      <c r="B11" s="2" t="inlineStr">
        <is>
          <t>Team 2</t>
        </is>
      </c>
    </row>
    <row r="12">
      <c r="A12" s="2" t="n">
        <v>3</v>
      </c>
      <c r="B12" t="inlineStr">
        <is>
          <t>Name 25</t>
        </is>
      </c>
      <c r="C12" t="inlineStr">
        <is>
          <t>Name 20</t>
        </is>
      </c>
    </row>
    <row r="13">
      <c r="A13" s="4" t="n">
        <v>4</v>
      </c>
      <c r="B13" s="5" t="inlineStr">
        <is>
          <t>Name 26</t>
        </is>
      </c>
      <c r="C13" s="5" t="inlineStr">
        <is>
          <t>Name 38</t>
        </is>
      </c>
      <c r="D13" s="5" t="n"/>
    </row>
    <row r="14">
      <c r="C14" s="2" t="inlineStr">
        <is>
          <t>IMP Sum</t>
        </is>
      </c>
      <c r="D14" s="6">
        <f>SUMIF('By Board'!D3:D34,"="&amp;A12,'By Board'!L3:L34)+SUMIF('By Board'!D3:D34,"="&amp;A13,'By Board'!L3:L34)</f>
        <v/>
      </c>
    </row>
  </sheetData>
  <mergeCells count="5">
    <mergeCell ref="A4:B4"/>
    <mergeCell ref="B6:C6"/>
    <mergeCell ref="A2:E2"/>
    <mergeCell ref="B11:C11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7" t="inlineStr">
        <is>
          <t>Score</t>
        </is>
      </c>
      <c r="L1" s="7" t="inlineStr"/>
      <c r="M1" s="7" t="inlineStr">
        <is>
          <t>Net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2" t="inlineStr">
        <is>
          <t>IMP</t>
        </is>
      </c>
      <c r="M2" s="2" t="inlineStr">
        <is>
          <t>NS</t>
        </is>
      </c>
      <c r="N2" s="2" t="inlineStr">
        <is>
          <t>EW</t>
        </is>
      </c>
    </row>
    <row r="3">
      <c r="A3" s="8" t="n">
        <v>1</v>
      </c>
      <c r="B3" s="8" t="n">
        <v>1</v>
      </c>
      <c r="C3" s="8" t="n">
        <v>1</v>
      </c>
      <c r="D3" s="8" t="n">
        <v>1</v>
      </c>
      <c r="E3" s="8" t="n">
        <v>4</v>
      </c>
      <c r="F3" s="8" t="inlineStr">
        <is>
          <t>None</t>
        </is>
      </c>
      <c r="L3" s="9">
        <f>IF(AND(ISNUMBER(M3),ISNUMBER(M4)),VLOOKUP(ABS(M3-M4),'IMP Table'!$A$2:$C$26,3)*SIGN(M3-M4),0)</f>
        <v/>
      </c>
      <c r="M3" s="9">
        <f>IF(ISNUMBER(J3),J3,IF(ISNUMBER(K3),-K3,""))</f>
        <v/>
      </c>
      <c r="N3">
        <f>IF(ISNUMBER(K3),K3,IF(ISNUMBER(J3),-J3,""))</f>
        <v/>
      </c>
    </row>
    <row r="4">
      <c r="A4" s="5" t="n"/>
      <c r="B4" s="10" t="n">
        <v>2</v>
      </c>
      <c r="C4" s="10" t="n">
        <v>2</v>
      </c>
      <c r="D4" s="10" t="n">
        <v>3</v>
      </c>
      <c r="E4" s="10" t="n">
        <v>2</v>
      </c>
      <c r="F4" s="10" t="inlineStr">
        <is>
          <t>None</t>
        </is>
      </c>
      <c r="G4" s="5" t="n"/>
      <c r="H4" s="5" t="n"/>
      <c r="I4" s="5" t="n"/>
      <c r="J4" s="5" t="n"/>
      <c r="K4" s="5" t="n"/>
      <c r="L4" s="11">
        <f>IF(AND(ISNUMBER(M4),ISNUMBER(M3)),VLOOKUP(ABS(M4-M3),'IMP Table'!$A$2:$C$26,3)*SIGN(M4-M3),0)</f>
        <v/>
      </c>
      <c r="M4" s="11">
        <f>IF(ISNUMBER(J4),J4,IF(ISNUMBER(K4),-K4,""))</f>
        <v/>
      </c>
      <c r="N4" s="5">
        <f>IF(ISNUMBER(K4),K4,IF(ISNUMBER(J4),-J4,""))</f>
        <v/>
      </c>
    </row>
    <row r="5">
      <c r="A5" s="8" t="n">
        <v>2</v>
      </c>
      <c r="B5" s="8" t="n">
        <v>1</v>
      </c>
      <c r="C5" s="8" t="n">
        <v>1</v>
      </c>
      <c r="D5" s="8" t="n">
        <v>1</v>
      </c>
      <c r="E5" s="8" t="n">
        <v>4</v>
      </c>
      <c r="F5" s="8" t="inlineStr">
        <is>
          <t>NS</t>
        </is>
      </c>
      <c r="L5" s="9">
        <f>IF(AND(ISNUMBER(M5),ISNUMBER(M6)),VLOOKUP(ABS(M5-M6),'IMP Table'!$A$2:$C$26,3)*SIGN(M5-M6),0)</f>
        <v/>
      </c>
      <c r="M5" s="9">
        <f>IF(ISNUMBER(J5),J5,IF(ISNUMBER(K5),-K5,""))</f>
        <v/>
      </c>
      <c r="N5">
        <f>IF(ISNUMBER(K5),K5,IF(ISNUMBER(J5),-J5,""))</f>
        <v/>
      </c>
    </row>
    <row r="6">
      <c r="A6" s="5" t="n"/>
      <c r="B6" s="10" t="n">
        <v>2</v>
      </c>
      <c r="C6" s="10" t="n">
        <v>2</v>
      </c>
      <c r="D6" s="10" t="n">
        <v>3</v>
      </c>
      <c r="E6" s="10" t="n">
        <v>2</v>
      </c>
      <c r="F6" s="10" t="inlineStr">
        <is>
          <t>NS</t>
        </is>
      </c>
      <c r="G6" s="5" t="n"/>
      <c r="H6" s="5" t="n"/>
      <c r="I6" s="5" t="n"/>
      <c r="J6" s="5" t="n"/>
      <c r="K6" s="5" t="n"/>
      <c r="L6" s="11">
        <f>IF(AND(ISNUMBER(M6),ISNUMBER(M5)),VLOOKUP(ABS(M6-M5),'IMP Table'!$A$2:$C$26,3)*SIGN(M6-M5),0)</f>
        <v/>
      </c>
      <c r="M6" s="11">
        <f>IF(ISNUMBER(J6),J6,IF(ISNUMBER(K6),-K6,""))</f>
        <v/>
      </c>
      <c r="N6" s="5">
        <f>IF(ISNUMBER(K6),K6,IF(ISNUMBER(J6),-J6,""))</f>
        <v/>
      </c>
    </row>
    <row r="7">
      <c r="A7" s="8" t="n">
        <v>3</v>
      </c>
      <c r="B7" s="8" t="n">
        <v>1</v>
      </c>
      <c r="C7" s="8" t="n">
        <v>1</v>
      </c>
      <c r="D7" s="8" t="n">
        <v>1</v>
      </c>
      <c r="E7" s="8" t="n">
        <v>4</v>
      </c>
      <c r="F7" s="8" t="inlineStr">
        <is>
          <t>EW</t>
        </is>
      </c>
      <c r="L7" s="9">
        <f>IF(AND(ISNUMBER(M7),ISNUMBER(M8)),VLOOKUP(ABS(M7-M8),'IMP Table'!$A$2:$C$26,3)*SIGN(M7-M8),0)</f>
        <v/>
      </c>
      <c r="M7" s="9">
        <f>IF(ISNUMBER(J7),J7,IF(ISNUMBER(K7),-K7,""))</f>
        <v/>
      </c>
      <c r="N7">
        <f>IF(ISNUMBER(K7),K7,IF(ISNUMBER(J7),-J7,""))</f>
        <v/>
      </c>
    </row>
    <row r="8">
      <c r="A8" s="5" t="n"/>
      <c r="B8" s="10" t="n">
        <v>2</v>
      </c>
      <c r="C8" s="10" t="n">
        <v>2</v>
      </c>
      <c r="D8" s="10" t="n">
        <v>3</v>
      </c>
      <c r="E8" s="10" t="n">
        <v>2</v>
      </c>
      <c r="F8" s="10" t="inlineStr">
        <is>
          <t>EW</t>
        </is>
      </c>
      <c r="G8" s="5" t="n"/>
      <c r="H8" s="5" t="n"/>
      <c r="I8" s="5" t="n"/>
      <c r="J8" s="5" t="n"/>
      <c r="K8" s="5" t="n"/>
      <c r="L8" s="11">
        <f>IF(AND(ISNUMBER(M8),ISNUMBER(M7)),VLOOKUP(ABS(M8-M7),'IMP Table'!$A$2:$C$26,3)*SIGN(M8-M7),0)</f>
        <v/>
      </c>
      <c r="M8" s="11">
        <f>IF(ISNUMBER(J8),J8,IF(ISNUMBER(K8),-K8,""))</f>
        <v/>
      </c>
      <c r="N8" s="5">
        <f>IF(ISNUMBER(K8),K8,IF(ISNUMBER(J8),-J8,""))</f>
        <v/>
      </c>
    </row>
    <row r="9">
      <c r="A9" s="8" t="n">
        <v>4</v>
      </c>
      <c r="B9" s="8" t="n">
        <v>1</v>
      </c>
      <c r="C9" s="8" t="n">
        <v>1</v>
      </c>
      <c r="D9" s="8" t="n">
        <v>1</v>
      </c>
      <c r="E9" s="8" t="n">
        <v>4</v>
      </c>
      <c r="F9" s="8" t="inlineStr">
        <is>
          <t>Both</t>
        </is>
      </c>
      <c r="L9" s="9">
        <f>IF(AND(ISNUMBER(M9),ISNUMBER(M10)),VLOOKUP(ABS(M9-M10),'IMP Table'!$A$2:$C$26,3)*SIGN(M9-M10),0)</f>
        <v/>
      </c>
      <c r="M9" s="9">
        <f>IF(ISNUMBER(J9),J9,IF(ISNUMBER(K9),-K9,""))</f>
        <v/>
      </c>
      <c r="N9">
        <f>IF(ISNUMBER(K9),K9,IF(ISNUMBER(J9),-J9,""))</f>
        <v/>
      </c>
    </row>
    <row r="10">
      <c r="A10" s="5" t="n"/>
      <c r="B10" s="10" t="n">
        <v>2</v>
      </c>
      <c r="C10" s="10" t="n">
        <v>2</v>
      </c>
      <c r="D10" s="10" t="n">
        <v>3</v>
      </c>
      <c r="E10" s="10" t="n">
        <v>2</v>
      </c>
      <c r="F10" s="10" t="inlineStr">
        <is>
          <t>Both</t>
        </is>
      </c>
      <c r="G10" s="5" t="n"/>
      <c r="H10" s="5" t="n"/>
      <c r="I10" s="5" t="n"/>
      <c r="J10" s="5" t="n"/>
      <c r="K10" s="5" t="n"/>
      <c r="L10" s="11">
        <f>IF(AND(ISNUMBER(M10),ISNUMBER(M9)),VLOOKUP(ABS(M10-M9),'IMP Table'!$A$2:$C$26,3)*SIGN(M10-M9),0)</f>
        <v/>
      </c>
      <c r="M10" s="11">
        <f>IF(ISNUMBER(J10),J10,IF(ISNUMBER(K10),-K10,""))</f>
        <v/>
      </c>
      <c r="N10" s="5">
        <f>IF(ISNUMBER(K10),K10,IF(ISNUMBER(J10),-J10,""))</f>
        <v/>
      </c>
    </row>
    <row r="11">
      <c r="A11" s="8" t="n">
        <v>5</v>
      </c>
      <c r="B11" s="8" t="n">
        <v>2</v>
      </c>
      <c r="C11" s="8" t="n">
        <v>1</v>
      </c>
      <c r="D11" s="8" t="n">
        <v>1</v>
      </c>
      <c r="E11" s="8" t="n">
        <v>4</v>
      </c>
      <c r="F11" s="8" t="inlineStr">
        <is>
          <t>NS</t>
        </is>
      </c>
      <c r="L11" s="9">
        <f>IF(AND(ISNUMBER(M11),ISNUMBER(M12)),VLOOKUP(ABS(M11-M12),'IMP Table'!$A$2:$C$26,3)*SIGN(M11-M12),0)</f>
        <v/>
      </c>
      <c r="M11" s="9">
        <f>IF(ISNUMBER(J11),J11,IF(ISNUMBER(K11),-K11,""))</f>
        <v/>
      </c>
      <c r="N11">
        <f>IF(ISNUMBER(K11),K11,IF(ISNUMBER(J11),-J11,""))</f>
        <v/>
      </c>
    </row>
    <row r="12">
      <c r="A12" s="5" t="n"/>
      <c r="B12" s="10" t="n">
        <v>1</v>
      </c>
      <c r="C12" s="10" t="n">
        <v>2</v>
      </c>
      <c r="D12" s="10" t="n">
        <v>3</v>
      </c>
      <c r="E12" s="10" t="n">
        <v>2</v>
      </c>
      <c r="F12" s="10" t="inlineStr">
        <is>
          <t>NS</t>
        </is>
      </c>
      <c r="G12" s="5" t="n"/>
      <c r="H12" s="5" t="n"/>
      <c r="I12" s="5" t="n"/>
      <c r="J12" s="5" t="n"/>
      <c r="K12" s="5" t="n"/>
      <c r="L12" s="11">
        <f>IF(AND(ISNUMBER(M12),ISNUMBER(M11)),VLOOKUP(ABS(M12-M11),'IMP Table'!$A$2:$C$26,3)*SIGN(M12-M11),0)</f>
        <v/>
      </c>
      <c r="M12" s="11">
        <f>IF(ISNUMBER(J12),J12,IF(ISNUMBER(K12),-K12,""))</f>
        <v/>
      </c>
      <c r="N12" s="5">
        <f>IF(ISNUMBER(K12),K12,IF(ISNUMBER(J12),-J12,""))</f>
        <v/>
      </c>
    </row>
    <row r="13">
      <c r="A13" s="8" t="n">
        <v>6</v>
      </c>
      <c r="B13" s="8" t="n">
        <v>2</v>
      </c>
      <c r="C13" s="8" t="n">
        <v>1</v>
      </c>
      <c r="D13" s="8" t="n">
        <v>1</v>
      </c>
      <c r="E13" s="8" t="n">
        <v>4</v>
      </c>
      <c r="F13" s="8" t="inlineStr">
        <is>
          <t>EW</t>
        </is>
      </c>
      <c r="L13" s="9">
        <f>IF(AND(ISNUMBER(M13),ISNUMBER(M14)),VLOOKUP(ABS(M13-M14),'IMP Table'!$A$2:$C$26,3)*SIGN(M13-M14),0)</f>
        <v/>
      </c>
      <c r="M13" s="9">
        <f>IF(ISNUMBER(J13),J13,IF(ISNUMBER(K13),-K13,""))</f>
        <v/>
      </c>
      <c r="N13">
        <f>IF(ISNUMBER(K13),K13,IF(ISNUMBER(J13),-J13,""))</f>
        <v/>
      </c>
    </row>
    <row r="14">
      <c r="A14" s="5" t="n"/>
      <c r="B14" s="10" t="n">
        <v>1</v>
      </c>
      <c r="C14" s="10" t="n">
        <v>2</v>
      </c>
      <c r="D14" s="10" t="n">
        <v>3</v>
      </c>
      <c r="E14" s="10" t="n">
        <v>2</v>
      </c>
      <c r="F14" s="10" t="inlineStr">
        <is>
          <t>EW</t>
        </is>
      </c>
      <c r="G14" s="5" t="n"/>
      <c r="H14" s="5" t="n"/>
      <c r="I14" s="5" t="n"/>
      <c r="J14" s="5" t="n"/>
      <c r="K14" s="5" t="n"/>
      <c r="L14" s="11">
        <f>IF(AND(ISNUMBER(M14),ISNUMBER(M13)),VLOOKUP(ABS(M14-M13),'IMP Table'!$A$2:$C$26,3)*SIGN(M14-M13),0)</f>
        <v/>
      </c>
      <c r="M14" s="11">
        <f>IF(ISNUMBER(J14),J14,IF(ISNUMBER(K14),-K14,""))</f>
        <v/>
      </c>
      <c r="N14" s="5">
        <f>IF(ISNUMBER(K14),K14,IF(ISNUMBER(J14),-J14,""))</f>
        <v/>
      </c>
    </row>
    <row r="15">
      <c r="A15" s="8" t="n">
        <v>7</v>
      </c>
      <c r="B15" s="8" t="n">
        <v>2</v>
      </c>
      <c r="C15" s="8" t="n">
        <v>1</v>
      </c>
      <c r="D15" s="8" t="n">
        <v>1</v>
      </c>
      <c r="E15" s="8" t="n">
        <v>4</v>
      </c>
      <c r="F15" s="8" t="inlineStr">
        <is>
          <t>Both</t>
        </is>
      </c>
      <c r="L15" s="9">
        <f>IF(AND(ISNUMBER(M15),ISNUMBER(M16)),VLOOKUP(ABS(M15-M16),'IMP Table'!$A$2:$C$26,3)*SIGN(M15-M16),0)</f>
        <v/>
      </c>
      <c r="M15" s="9">
        <f>IF(ISNUMBER(J15),J15,IF(ISNUMBER(K15),-K15,""))</f>
        <v/>
      </c>
      <c r="N15">
        <f>IF(ISNUMBER(K15),K15,IF(ISNUMBER(J15),-J15,""))</f>
        <v/>
      </c>
    </row>
    <row r="16">
      <c r="A16" s="5" t="n"/>
      <c r="B16" s="10" t="n">
        <v>1</v>
      </c>
      <c r="C16" s="10" t="n">
        <v>2</v>
      </c>
      <c r="D16" s="10" t="n">
        <v>3</v>
      </c>
      <c r="E16" s="10" t="n">
        <v>2</v>
      </c>
      <c r="F16" s="10" t="inlineStr">
        <is>
          <t>Both</t>
        </is>
      </c>
      <c r="G16" s="5" t="n"/>
      <c r="H16" s="5" t="n"/>
      <c r="I16" s="5" t="n"/>
      <c r="J16" s="5" t="n"/>
      <c r="K16" s="5" t="n"/>
      <c r="L16" s="11">
        <f>IF(AND(ISNUMBER(M16),ISNUMBER(M15)),VLOOKUP(ABS(M16-M15),'IMP Table'!$A$2:$C$26,3)*SIGN(M16-M15),0)</f>
        <v/>
      </c>
      <c r="M16" s="11">
        <f>IF(ISNUMBER(J16),J16,IF(ISNUMBER(K16),-K16,""))</f>
        <v/>
      </c>
      <c r="N16" s="5">
        <f>IF(ISNUMBER(K16),K16,IF(ISNUMBER(J16),-J16,""))</f>
        <v/>
      </c>
    </row>
    <row r="17">
      <c r="A17" s="8" t="n">
        <v>8</v>
      </c>
      <c r="B17" s="8" t="n">
        <v>2</v>
      </c>
      <c r="C17" s="8" t="n">
        <v>1</v>
      </c>
      <c r="D17" s="8" t="n">
        <v>1</v>
      </c>
      <c r="E17" s="8" t="n">
        <v>4</v>
      </c>
      <c r="F17" s="8" t="inlineStr">
        <is>
          <t>None</t>
        </is>
      </c>
      <c r="L17" s="9">
        <f>IF(AND(ISNUMBER(M17),ISNUMBER(M18)),VLOOKUP(ABS(M17-M18),'IMP Table'!$A$2:$C$26,3)*SIGN(M17-M18),0)</f>
        <v/>
      </c>
      <c r="M17" s="9">
        <f>IF(ISNUMBER(J17),J17,IF(ISNUMBER(K17),-K17,""))</f>
        <v/>
      </c>
      <c r="N17">
        <f>IF(ISNUMBER(K17),K17,IF(ISNUMBER(J17),-J17,""))</f>
        <v/>
      </c>
    </row>
    <row r="18">
      <c r="A18" s="5" t="n"/>
      <c r="B18" s="10" t="n">
        <v>1</v>
      </c>
      <c r="C18" s="10" t="n">
        <v>2</v>
      </c>
      <c r="D18" s="10" t="n">
        <v>3</v>
      </c>
      <c r="E18" s="10" t="n">
        <v>2</v>
      </c>
      <c r="F18" s="10" t="inlineStr">
        <is>
          <t>None</t>
        </is>
      </c>
      <c r="G18" s="5" t="n"/>
      <c r="H18" s="5" t="n"/>
      <c r="I18" s="5" t="n"/>
      <c r="J18" s="5" t="n"/>
      <c r="K18" s="5" t="n"/>
      <c r="L18" s="11">
        <f>IF(AND(ISNUMBER(M18),ISNUMBER(M17)),VLOOKUP(ABS(M18-M17),'IMP Table'!$A$2:$C$26,3)*SIGN(M18-M17),0)</f>
        <v/>
      </c>
      <c r="M18" s="11">
        <f>IF(ISNUMBER(J18),J18,IF(ISNUMBER(K18),-K18,""))</f>
        <v/>
      </c>
      <c r="N18" s="5">
        <f>IF(ISNUMBER(K18),K18,IF(ISNUMBER(J18),-J18,""))</f>
        <v/>
      </c>
    </row>
    <row r="19">
      <c r="A19" s="8" t="n">
        <v>9</v>
      </c>
      <c r="B19" s="8" t="n">
        <v>3</v>
      </c>
      <c r="C19" s="8" t="n">
        <v>1</v>
      </c>
      <c r="D19" s="8" t="n">
        <v>1</v>
      </c>
      <c r="E19" s="8" t="n">
        <v>3</v>
      </c>
      <c r="F19" s="8" t="inlineStr">
        <is>
          <t>EW</t>
        </is>
      </c>
      <c r="L19" s="9">
        <f>IF(AND(ISNUMBER(M19),ISNUMBER(M20)),VLOOKUP(ABS(M19-M20),'IMP Table'!$A$2:$C$26,3)*SIGN(M19-M20),0)</f>
        <v/>
      </c>
      <c r="M19" s="9">
        <f>IF(ISNUMBER(J19),J19,IF(ISNUMBER(K19),-K19,""))</f>
        <v/>
      </c>
      <c r="N19">
        <f>IF(ISNUMBER(K19),K19,IF(ISNUMBER(J19),-J19,""))</f>
        <v/>
      </c>
    </row>
    <row r="20">
      <c r="A20" s="5" t="n"/>
      <c r="B20" s="10" t="n">
        <v>4</v>
      </c>
      <c r="C20" s="10" t="n">
        <v>2</v>
      </c>
      <c r="D20" s="10" t="n">
        <v>4</v>
      </c>
      <c r="E20" s="10" t="n">
        <v>2</v>
      </c>
      <c r="F20" s="10" t="inlineStr">
        <is>
          <t>EW</t>
        </is>
      </c>
      <c r="G20" s="5" t="n"/>
      <c r="H20" s="5" t="n"/>
      <c r="I20" s="5" t="n"/>
      <c r="J20" s="5" t="n"/>
      <c r="K20" s="5" t="n"/>
      <c r="L20" s="11">
        <f>IF(AND(ISNUMBER(M20),ISNUMBER(M19)),VLOOKUP(ABS(M20-M19),'IMP Table'!$A$2:$C$26,3)*SIGN(M20-M19),0)</f>
        <v/>
      </c>
      <c r="M20" s="11">
        <f>IF(ISNUMBER(J20),J20,IF(ISNUMBER(K20),-K20,""))</f>
        <v/>
      </c>
      <c r="N20" s="5">
        <f>IF(ISNUMBER(K20),K20,IF(ISNUMBER(J20),-J20,""))</f>
        <v/>
      </c>
    </row>
    <row r="21">
      <c r="A21" s="8" t="n">
        <v>10</v>
      </c>
      <c r="B21" s="8" t="n">
        <v>3</v>
      </c>
      <c r="C21" s="8" t="n">
        <v>1</v>
      </c>
      <c r="D21" s="8" t="n">
        <v>1</v>
      </c>
      <c r="E21" s="8" t="n">
        <v>3</v>
      </c>
      <c r="F21" s="8" t="inlineStr">
        <is>
          <t>Both</t>
        </is>
      </c>
      <c r="L21" s="9">
        <f>IF(AND(ISNUMBER(M21),ISNUMBER(M22)),VLOOKUP(ABS(M21-M22),'IMP Table'!$A$2:$C$26,3)*SIGN(M21-M22),0)</f>
        <v/>
      </c>
      <c r="M21" s="9">
        <f>IF(ISNUMBER(J21),J21,IF(ISNUMBER(K21),-K21,""))</f>
        <v/>
      </c>
      <c r="N21">
        <f>IF(ISNUMBER(K21),K21,IF(ISNUMBER(J21),-J21,""))</f>
        <v/>
      </c>
    </row>
    <row r="22">
      <c r="A22" s="5" t="n"/>
      <c r="B22" s="10" t="n">
        <v>4</v>
      </c>
      <c r="C22" s="10" t="n">
        <v>2</v>
      </c>
      <c r="D22" s="10" t="n">
        <v>4</v>
      </c>
      <c r="E22" s="10" t="n">
        <v>2</v>
      </c>
      <c r="F22" s="10" t="inlineStr">
        <is>
          <t>Both</t>
        </is>
      </c>
      <c r="G22" s="5" t="n"/>
      <c r="H22" s="5" t="n"/>
      <c r="I22" s="5" t="n"/>
      <c r="J22" s="5" t="n"/>
      <c r="K22" s="5" t="n"/>
      <c r="L22" s="11">
        <f>IF(AND(ISNUMBER(M22),ISNUMBER(M21)),VLOOKUP(ABS(M22-M21),'IMP Table'!$A$2:$C$26,3)*SIGN(M22-M21),0)</f>
        <v/>
      </c>
      <c r="M22" s="11">
        <f>IF(ISNUMBER(J22),J22,IF(ISNUMBER(K22),-K22,""))</f>
        <v/>
      </c>
      <c r="N22" s="5">
        <f>IF(ISNUMBER(K22),K22,IF(ISNUMBER(J22),-J22,""))</f>
        <v/>
      </c>
    </row>
    <row r="23">
      <c r="A23" s="8" t="n">
        <v>11</v>
      </c>
      <c r="B23" s="8" t="n">
        <v>3</v>
      </c>
      <c r="C23" s="8" t="n">
        <v>1</v>
      </c>
      <c r="D23" s="8" t="n">
        <v>1</v>
      </c>
      <c r="E23" s="8" t="n">
        <v>3</v>
      </c>
      <c r="F23" s="8" t="inlineStr">
        <is>
          <t>None</t>
        </is>
      </c>
      <c r="L23" s="9">
        <f>IF(AND(ISNUMBER(M23),ISNUMBER(M24)),VLOOKUP(ABS(M23-M24),'IMP Table'!$A$2:$C$26,3)*SIGN(M23-M24),0)</f>
        <v/>
      </c>
      <c r="M23" s="9">
        <f>IF(ISNUMBER(J23),J23,IF(ISNUMBER(K23),-K23,""))</f>
        <v/>
      </c>
      <c r="N23">
        <f>IF(ISNUMBER(K23),K23,IF(ISNUMBER(J23),-J23,""))</f>
        <v/>
      </c>
    </row>
    <row r="24">
      <c r="A24" s="5" t="n"/>
      <c r="B24" s="10" t="n">
        <v>4</v>
      </c>
      <c r="C24" s="10" t="n">
        <v>2</v>
      </c>
      <c r="D24" s="10" t="n">
        <v>4</v>
      </c>
      <c r="E24" s="10" t="n">
        <v>2</v>
      </c>
      <c r="F24" s="10" t="inlineStr">
        <is>
          <t>None</t>
        </is>
      </c>
      <c r="G24" s="5" t="n"/>
      <c r="H24" s="5" t="n"/>
      <c r="I24" s="5" t="n"/>
      <c r="J24" s="5" t="n"/>
      <c r="K24" s="5" t="n"/>
      <c r="L24" s="11">
        <f>IF(AND(ISNUMBER(M24),ISNUMBER(M23)),VLOOKUP(ABS(M24-M23),'IMP Table'!$A$2:$C$26,3)*SIGN(M24-M23),0)</f>
        <v/>
      </c>
      <c r="M24" s="11">
        <f>IF(ISNUMBER(J24),J24,IF(ISNUMBER(K24),-K24,""))</f>
        <v/>
      </c>
      <c r="N24" s="5">
        <f>IF(ISNUMBER(K24),K24,IF(ISNUMBER(J24),-J24,""))</f>
        <v/>
      </c>
    </row>
    <row r="25">
      <c r="A25" s="8" t="n">
        <v>12</v>
      </c>
      <c r="B25" s="8" t="n">
        <v>3</v>
      </c>
      <c r="C25" s="8" t="n">
        <v>1</v>
      </c>
      <c r="D25" s="8" t="n">
        <v>1</v>
      </c>
      <c r="E25" s="8" t="n">
        <v>3</v>
      </c>
      <c r="F25" s="8" t="inlineStr">
        <is>
          <t>NS</t>
        </is>
      </c>
      <c r="L25" s="9">
        <f>IF(AND(ISNUMBER(M25),ISNUMBER(M26)),VLOOKUP(ABS(M25-M26),'IMP Table'!$A$2:$C$26,3)*SIGN(M25-M26),0)</f>
        <v/>
      </c>
      <c r="M25" s="9">
        <f>IF(ISNUMBER(J25),J25,IF(ISNUMBER(K25),-K25,""))</f>
        <v/>
      </c>
      <c r="N25">
        <f>IF(ISNUMBER(K25),K25,IF(ISNUMBER(J25),-J25,""))</f>
        <v/>
      </c>
    </row>
    <row r="26">
      <c r="A26" s="5" t="n"/>
      <c r="B26" s="10" t="n">
        <v>4</v>
      </c>
      <c r="C26" s="10" t="n">
        <v>2</v>
      </c>
      <c r="D26" s="10" t="n">
        <v>4</v>
      </c>
      <c r="E26" s="10" t="n">
        <v>2</v>
      </c>
      <c r="F26" s="10" t="inlineStr">
        <is>
          <t>NS</t>
        </is>
      </c>
      <c r="G26" s="5" t="n"/>
      <c r="H26" s="5" t="n"/>
      <c r="I26" s="5" t="n"/>
      <c r="J26" s="5" t="n"/>
      <c r="K26" s="5" t="n"/>
      <c r="L26" s="11">
        <f>IF(AND(ISNUMBER(M26),ISNUMBER(M25)),VLOOKUP(ABS(M26-M25),'IMP Table'!$A$2:$C$26,3)*SIGN(M26-M25),0)</f>
        <v/>
      </c>
      <c r="M26" s="11">
        <f>IF(ISNUMBER(J26),J26,IF(ISNUMBER(K26),-K26,""))</f>
        <v/>
      </c>
      <c r="N26" s="5">
        <f>IF(ISNUMBER(K26),K26,IF(ISNUMBER(J26),-J26,""))</f>
        <v/>
      </c>
    </row>
    <row r="27">
      <c r="A27" s="8" t="n">
        <v>13</v>
      </c>
      <c r="B27" s="8" t="n">
        <v>4</v>
      </c>
      <c r="C27" s="8" t="n">
        <v>1</v>
      </c>
      <c r="D27" s="8" t="n">
        <v>1</v>
      </c>
      <c r="E27" s="8" t="n">
        <v>3</v>
      </c>
      <c r="F27" s="8" t="inlineStr">
        <is>
          <t>Both</t>
        </is>
      </c>
      <c r="L27" s="9">
        <f>IF(AND(ISNUMBER(M27),ISNUMBER(M28)),VLOOKUP(ABS(M27-M28),'IMP Table'!$A$2:$C$26,3)*SIGN(M27-M28),0)</f>
        <v/>
      </c>
      <c r="M27" s="9">
        <f>IF(ISNUMBER(J27),J27,IF(ISNUMBER(K27),-K27,""))</f>
        <v/>
      </c>
      <c r="N27">
        <f>IF(ISNUMBER(K27),K27,IF(ISNUMBER(J27),-J27,""))</f>
        <v/>
      </c>
    </row>
    <row r="28">
      <c r="A28" s="5" t="n"/>
      <c r="B28" s="10" t="n">
        <v>3</v>
      </c>
      <c r="C28" s="10" t="n">
        <v>2</v>
      </c>
      <c r="D28" s="10" t="n">
        <v>4</v>
      </c>
      <c r="E28" s="10" t="n">
        <v>2</v>
      </c>
      <c r="F28" s="10" t="inlineStr">
        <is>
          <t>Both</t>
        </is>
      </c>
      <c r="G28" s="5" t="n"/>
      <c r="H28" s="5" t="n"/>
      <c r="I28" s="5" t="n"/>
      <c r="J28" s="5" t="n"/>
      <c r="K28" s="5" t="n"/>
      <c r="L28" s="11">
        <f>IF(AND(ISNUMBER(M28),ISNUMBER(M27)),VLOOKUP(ABS(M28-M27),'IMP Table'!$A$2:$C$26,3)*SIGN(M28-M27),0)</f>
        <v/>
      </c>
      <c r="M28" s="11">
        <f>IF(ISNUMBER(J28),J28,IF(ISNUMBER(K28),-K28,""))</f>
        <v/>
      </c>
      <c r="N28" s="5">
        <f>IF(ISNUMBER(K28),K28,IF(ISNUMBER(J28),-J28,""))</f>
        <v/>
      </c>
    </row>
    <row r="29">
      <c r="A29" s="8" t="n">
        <v>14</v>
      </c>
      <c r="B29" s="8" t="n">
        <v>4</v>
      </c>
      <c r="C29" s="8" t="n">
        <v>1</v>
      </c>
      <c r="D29" s="8" t="n">
        <v>1</v>
      </c>
      <c r="E29" s="8" t="n">
        <v>3</v>
      </c>
      <c r="F29" s="8" t="inlineStr">
        <is>
          <t>None</t>
        </is>
      </c>
      <c r="L29" s="9">
        <f>IF(AND(ISNUMBER(M29),ISNUMBER(M30)),VLOOKUP(ABS(M29-M30),'IMP Table'!$A$2:$C$26,3)*SIGN(M29-M30),0)</f>
        <v/>
      </c>
      <c r="M29" s="9">
        <f>IF(ISNUMBER(J29),J29,IF(ISNUMBER(K29),-K29,""))</f>
        <v/>
      </c>
      <c r="N29">
        <f>IF(ISNUMBER(K29),K29,IF(ISNUMBER(J29),-J29,""))</f>
        <v/>
      </c>
    </row>
    <row r="30">
      <c r="A30" s="5" t="n"/>
      <c r="B30" s="10" t="n">
        <v>3</v>
      </c>
      <c r="C30" s="10" t="n">
        <v>2</v>
      </c>
      <c r="D30" s="10" t="n">
        <v>4</v>
      </c>
      <c r="E30" s="10" t="n">
        <v>2</v>
      </c>
      <c r="F30" s="10" t="inlineStr">
        <is>
          <t>None</t>
        </is>
      </c>
      <c r="G30" s="5" t="n"/>
      <c r="H30" s="5" t="n"/>
      <c r="I30" s="5" t="n"/>
      <c r="J30" s="5" t="n"/>
      <c r="K30" s="5" t="n"/>
      <c r="L30" s="11">
        <f>IF(AND(ISNUMBER(M30),ISNUMBER(M29)),VLOOKUP(ABS(M30-M29),'IMP Table'!$A$2:$C$26,3)*SIGN(M30-M29),0)</f>
        <v/>
      </c>
      <c r="M30" s="11">
        <f>IF(ISNUMBER(J30),J30,IF(ISNUMBER(K30),-K30,""))</f>
        <v/>
      </c>
      <c r="N30" s="5">
        <f>IF(ISNUMBER(K30),K30,IF(ISNUMBER(J30),-J30,""))</f>
        <v/>
      </c>
    </row>
    <row r="31">
      <c r="A31" s="8" t="n">
        <v>15</v>
      </c>
      <c r="B31" s="8" t="n">
        <v>4</v>
      </c>
      <c r="C31" s="8" t="n">
        <v>1</v>
      </c>
      <c r="D31" s="8" t="n">
        <v>1</v>
      </c>
      <c r="E31" s="8" t="n">
        <v>3</v>
      </c>
      <c r="F31" s="8" t="inlineStr">
        <is>
          <t>NS</t>
        </is>
      </c>
      <c r="L31" s="9">
        <f>IF(AND(ISNUMBER(M31),ISNUMBER(M32)),VLOOKUP(ABS(M31-M32),'IMP Table'!$A$2:$C$26,3)*SIGN(M31-M32),0)</f>
        <v/>
      </c>
      <c r="M31" s="9">
        <f>IF(ISNUMBER(J31),J31,IF(ISNUMBER(K31),-K31,""))</f>
        <v/>
      </c>
      <c r="N31">
        <f>IF(ISNUMBER(K31),K31,IF(ISNUMBER(J31),-J31,""))</f>
        <v/>
      </c>
    </row>
    <row r="32">
      <c r="A32" s="5" t="n"/>
      <c r="B32" s="10" t="n">
        <v>3</v>
      </c>
      <c r="C32" s="10" t="n">
        <v>2</v>
      </c>
      <c r="D32" s="10" t="n">
        <v>4</v>
      </c>
      <c r="E32" s="10" t="n">
        <v>2</v>
      </c>
      <c r="F32" s="10" t="inlineStr">
        <is>
          <t>NS</t>
        </is>
      </c>
      <c r="G32" s="5" t="n"/>
      <c r="H32" s="5" t="n"/>
      <c r="I32" s="5" t="n"/>
      <c r="J32" s="5" t="n"/>
      <c r="K32" s="5" t="n"/>
      <c r="L32" s="11">
        <f>IF(AND(ISNUMBER(M32),ISNUMBER(M31)),VLOOKUP(ABS(M32-M31),'IMP Table'!$A$2:$C$26,3)*SIGN(M32-M31),0)</f>
        <v/>
      </c>
      <c r="M32" s="11">
        <f>IF(ISNUMBER(J32),J32,IF(ISNUMBER(K32),-K32,""))</f>
        <v/>
      </c>
      <c r="N32" s="5">
        <f>IF(ISNUMBER(K32),K32,IF(ISNUMBER(J32),-J32,""))</f>
        <v/>
      </c>
    </row>
    <row r="33">
      <c r="A33" s="8" t="n">
        <v>16</v>
      </c>
      <c r="B33" s="8" t="n">
        <v>4</v>
      </c>
      <c r="C33" s="8" t="n">
        <v>1</v>
      </c>
      <c r="D33" s="8" t="n">
        <v>1</v>
      </c>
      <c r="E33" s="8" t="n">
        <v>3</v>
      </c>
      <c r="F33" s="8" t="inlineStr">
        <is>
          <t>EW</t>
        </is>
      </c>
      <c r="L33" s="9">
        <f>IF(AND(ISNUMBER(M33),ISNUMBER(M34)),VLOOKUP(ABS(M33-M34),'IMP Table'!$A$2:$C$26,3)*SIGN(M33-M34),0)</f>
        <v/>
      </c>
      <c r="M33" s="9">
        <f>IF(ISNUMBER(J33),J33,IF(ISNUMBER(K33),-K33,""))</f>
        <v/>
      </c>
      <c r="N33">
        <f>IF(ISNUMBER(K33),K33,IF(ISNUMBER(J33),-J33,""))</f>
        <v/>
      </c>
    </row>
    <row r="34">
      <c r="A34" s="5" t="n"/>
      <c r="B34" s="10" t="n">
        <v>3</v>
      </c>
      <c r="C34" s="10" t="n">
        <v>2</v>
      </c>
      <c r="D34" s="10" t="n">
        <v>4</v>
      </c>
      <c r="E34" s="10" t="n">
        <v>2</v>
      </c>
      <c r="F34" s="10" t="inlineStr">
        <is>
          <t>EW</t>
        </is>
      </c>
      <c r="G34" s="5" t="n"/>
      <c r="H34" s="5" t="n"/>
      <c r="I34" s="5" t="n"/>
      <c r="J34" s="5" t="n"/>
      <c r="K34" s="5" t="n"/>
      <c r="L34" s="11">
        <f>IF(AND(ISNUMBER(M34),ISNUMBER(M33)),VLOOKUP(ABS(M34-M33),'IMP Table'!$A$2:$C$26,3)*SIGN(M34-M33),0)</f>
        <v/>
      </c>
      <c r="M34" s="11">
        <f>IF(ISNUMBER(J34),J34,IF(ISNUMBER(K34),-K34,""))</f>
        <v/>
      </c>
      <c r="N34" s="5">
        <f>IF(ISNUMBER(K34),K34,IF(ISNUMBER(J34),-J34,""))</f>
        <v/>
      </c>
    </row>
  </sheetData>
  <mergeCells count="3">
    <mergeCell ref="M1:N1"/>
    <mergeCell ref="J1:K1"/>
    <mergeCell ref="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  <c r="D1" t="inlineStr">
        <is>
          <t>VP</t>
        </is>
      </c>
    </row>
    <row r="2">
      <c r="A2" t="n">
        <v>0</v>
      </c>
      <c r="B2" t="n">
        <v>10</v>
      </c>
      <c r="C2" t="n">
        <v>0</v>
      </c>
      <c r="D2">
        <f>10+10*(1-0.6180339887498949^(3*C2/79.17047464637365))/0.7639320225002102</f>
        <v/>
      </c>
    </row>
    <row r="3">
      <c r="A3" t="n">
        <v>20</v>
      </c>
      <c r="B3" t="n">
        <v>40</v>
      </c>
      <c r="C3" t="n">
        <v>1</v>
      </c>
      <c r="D3">
        <f>10+10*(1-0.6180339887498949^(3*C3/79.17047464637365))/0.7639320225002102</f>
        <v/>
      </c>
    </row>
    <row r="4">
      <c r="A4" t="n">
        <v>50</v>
      </c>
      <c r="B4" t="n">
        <v>80</v>
      </c>
      <c r="C4" t="n">
        <v>2</v>
      </c>
      <c r="D4">
        <f>10+10*(1-0.6180339887498949^(3*C4/79.17047464637365))/0.7639320225002102</f>
        <v/>
      </c>
    </row>
    <row r="5">
      <c r="A5" t="n">
        <v>90</v>
      </c>
      <c r="B5" t="n">
        <v>120</v>
      </c>
      <c r="C5" t="n">
        <v>3</v>
      </c>
      <c r="D5">
        <f>10+10*(1-0.6180339887498949^(3*C5/79.17047464637365))/0.7639320225002102</f>
        <v/>
      </c>
    </row>
    <row r="6">
      <c r="A6" t="n">
        <v>130</v>
      </c>
      <c r="B6" t="n">
        <v>160</v>
      </c>
      <c r="C6" t="n">
        <v>4</v>
      </c>
      <c r="D6">
        <f>10+10*(1-0.6180339887498949^(3*C6/79.17047464637365))/0.7639320225002102</f>
        <v/>
      </c>
    </row>
    <row r="7">
      <c r="A7" t="n">
        <v>170</v>
      </c>
      <c r="B7" t="n">
        <v>210</v>
      </c>
      <c r="C7" t="n">
        <v>5</v>
      </c>
      <c r="D7">
        <f>10+10*(1-0.6180339887498949^(3*C7/79.17047464637365))/0.7639320225002102</f>
        <v/>
      </c>
    </row>
    <row r="8">
      <c r="A8" t="n">
        <v>220</v>
      </c>
      <c r="B8" t="n">
        <v>260</v>
      </c>
      <c r="C8" t="n">
        <v>6</v>
      </c>
      <c r="D8">
        <f>10+10*(1-0.6180339887498949^(3*C8/79.17047464637365))/0.7639320225002102</f>
        <v/>
      </c>
    </row>
    <row r="9">
      <c r="A9" t="n">
        <v>270</v>
      </c>
      <c r="B9" t="n">
        <v>310</v>
      </c>
      <c r="C9" t="n">
        <v>7</v>
      </c>
      <c r="D9">
        <f>10+10*(1-0.6180339887498949^(3*C9/79.17047464637365))/0.7639320225002102</f>
        <v/>
      </c>
    </row>
    <row r="10">
      <c r="A10" t="n">
        <v>320</v>
      </c>
      <c r="B10" t="n">
        <v>360</v>
      </c>
      <c r="C10" t="n">
        <v>8</v>
      </c>
      <c r="D10">
        <f>10+10*(1-0.6180339887498949^(3*C10/79.17047464637365))/0.7639320225002102</f>
        <v/>
      </c>
    </row>
    <row r="11">
      <c r="A11" t="n">
        <v>370</v>
      </c>
      <c r="B11" t="n">
        <v>420</v>
      </c>
      <c r="C11" t="n">
        <v>9</v>
      </c>
      <c r="D11">
        <f>10+10*(1-0.6180339887498949^(3*C11/79.17047464637365))/0.7639320225002102</f>
        <v/>
      </c>
    </row>
    <row r="12">
      <c r="A12" t="n">
        <v>430</v>
      </c>
      <c r="B12" t="n">
        <v>490</v>
      </c>
      <c r="C12" t="n">
        <v>10</v>
      </c>
      <c r="D12">
        <f>10+10*(1-0.6180339887498949^(3*C12/79.17047464637365))/0.7639320225002102</f>
        <v/>
      </c>
    </row>
    <row r="13">
      <c r="A13" t="n">
        <v>500</v>
      </c>
      <c r="B13" t="n">
        <v>590</v>
      </c>
      <c r="C13" t="n">
        <v>11</v>
      </c>
      <c r="D13">
        <f>10+10*(1-0.6180339887498949^(3*C13/79.17047464637365))/0.7639320225002102</f>
        <v/>
      </c>
    </row>
    <row r="14">
      <c r="A14" t="n">
        <v>600</v>
      </c>
      <c r="B14" t="n">
        <v>740</v>
      </c>
      <c r="C14" t="n">
        <v>12</v>
      </c>
      <c r="D14">
        <f>10+10*(1-0.6180339887498949^(3*C14/79.17047464637365))/0.7639320225002102</f>
        <v/>
      </c>
    </row>
    <row r="15">
      <c r="A15" t="n">
        <v>750</v>
      </c>
      <c r="B15" t="n">
        <v>890</v>
      </c>
      <c r="C15" t="n">
        <v>13</v>
      </c>
      <c r="D15">
        <f>10+10*(1-0.6180339887498949^(3*C15/79.17047464637365))/0.7639320225002102</f>
        <v/>
      </c>
    </row>
    <row r="16">
      <c r="A16" t="n">
        <v>900</v>
      </c>
      <c r="B16" t="n">
        <v>1090</v>
      </c>
      <c r="C16" t="n">
        <v>14</v>
      </c>
      <c r="D16">
        <f>10+10*(1-0.6180339887498949^(3*C16/79.17047464637365))/0.7639320225002102</f>
        <v/>
      </c>
    </row>
    <row r="17">
      <c r="A17" t="n">
        <v>1100</v>
      </c>
      <c r="B17" t="n">
        <v>1290</v>
      </c>
      <c r="C17" t="n">
        <v>15</v>
      </c>
      <c r="D17">
        <f>10+10*(1-0.6180339887498949^(3*C17/79.17047464637365))/0.7639320225002102</f>
        <v/>
      </c>
    </row>
    <row r="18">
      <c r="A18" t="n">
        <v>1300</v>
      </c>
      <c r="B18" t="n">
        <v>1490</v>
      </c>
      <c r="C18" t="n">
        <v>16</v>
      </c>
      <c r="D18">
        <f>10+10*(1-0.6180339887498949^(3*C18/79.17047464637365))/0.7639320225002102</f>
        <v/>
      </c>
    </row>
    <row r="19">
      <c r="A19" t="n">
        <v>1500</v>
      </c>
      <c r="B19" t="n">
        <v>1740</v>
      </c>
      <c r="C19" t="n">
        <v>17</v>
      </c>
      <c r="D19">
        <f>10+10*(1-0.6180339887498949^(3*C19/79.17047464637365))/0.7639320225002102</f>
        <v/>
      </c>
    </row>
    <row r="20">
      <c r="A20" t="n">
        <v>1750</v>
      </c>
      <c r="B20" t="n">
        <v>1990</v>
      </c>
      <c r="C20" t="n">
        <v>18</v>
      </c>
      <c r="D20">
        <f>10+10*(1-0.6180339887498949^(3*C20/79.17047464637365))/0.7639320225002102</f>
        <v/>
      </c>
    </row>
    <row r="21">
      <c r="A21" t="n">
        <v>2000</v>
      </c>
      <c r="B21" t="n">
        <v>2240</v>
      </c>
      <c r="C21" t="n">
        <v>19</v>
      </c>
      <c r="D21">
        <f>10+10*(1-0.6180339887498949^(3*C21/79.17047464637365))/0.7639320225002102</f>
        <v/>
      </c>
    </row>
    <row r="22">
      <c r="A22" t="n">
        <v>2250</v>
      </c>
      <c r="B22" t="n">
        <v>2490</v>
      </c>
      <c r="C22" t="n">
        <v>20</v>
      </c>
      <c r="D22">
        <f>10+10*(1-0.6180339887498949^(3*C22/79.17047464637365))/0.7639320225002102</f>
        <v/>
      </c>
    </row>
    <row r="23">
      <c r="A23" t="n">
        <v>2500</v>
      </c>
      <c r="B23" t="n">
        <v>2990</v>
      </c>
      <c r="C23" t="n">
        <v>21</v>
      </c>
      <c r="D23">
        <f>10+10*(1-0.6180339887498949^(3*C23/79.17047464637365))/0.7639320225002102</f>
        <v/>
      </c>
    </row>
    <row r="24">
      <c r="A24" t="n">
        <v>3000</v>
      </c>
      <c r="B24" t="n">
        <v>3490</v>
      </c>
      <c r="C24" t="n">
        <v>22</v>
      </c>
      <c r="D24">
        <f>10+10*(1-0.6180339887498949^(3*C24/79.17047464637365))/0.7639320225002102</f>
        <v/>
      </c>
    </row>
    <row r="25">
      <c r="A25" t="n">
        <v>3500</v>
      </c>
      <c r="B25" t="n">
        <v>3990</v>
      </c>
      <c r="C25" t="n">
        <v>23</v>
      </c>
      <c r="D25">
        <f>10+10*(1-0.6180339887498949^(3*C25/79.17047464637365))/0.7639320225002102</f>
        <v/>
      </c>
    </row>
    <row r="26">
      <c r="A26" t="n">
        <v>4000</v>
      </c>
      <c r="B26" t="n">
        <v>10000</v>
      </c>
      <c r="C26" t="n">
        <v>24</v>
      </c>
      <c r="D26">
        <f>10+10*(1-0.6180339887498949^(3*C26/79.17047464637365))/0.7639320225002102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12" t="n">
        <v>70</v>
      </c>
      <c r="D3" s="12" t="n">
        <v>140</v>
      </c>
      <c r="E3" s="12" t="n">
        <v>230</v>
      </c>
      <c r="F3" s="12" t="n">
        <v>70</v>
      </c>
      <c r="G3" s="12" t="n">
        <v>140</v>
      </c>
      <c r="H3" s="1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12" t="n">
        <v>90</v>
      </c>
      <c r="D4" s="12" t="n">
        <v>240</v>
      </c>
      <c r="E4" s="12" t="n">
        <v>430</v>
      </c>
      <c r="F4" s="12" t="n">
        <v>90</v>
      </c>
      <c r="G4" s="12" t="n">
        <v>340</v>
      </c>
      <c r="H4" s="1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12" t="n">
        <v>110</v>
      </c>
      <c r="D5" s="12" t="n">
        <v>340</v>
      </c>
      <c r="E5" s="12" t="n">
        <v>630</v>
      </c>
      <c r="F5" s="12" t="n">
        <v>110</v>
      </c>
      <c r="G5" s="12" t="n">
        <v>540</v>
      </c>
      <c r="H5" s="1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12" t="n">
        <v>130</v>
      </c>
      <c r="D6" s="12" t="n">
        <v>440</v>
      </c>
      <c r="E6" s="12" t="n">
        <v>830</v>
      </c>
      <c r="F6" s="12" t="n">
        <v>130</v>
      </c>
      <c r="G6" s="12" t="n">
        <v>740</v>
      </c>
      <c r="H6" s="1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12" t="n">
        <v>150</v>
      </c>
      <c r="D7" s="12" t="n">
        <v>540</v>
      </c>
      <c r="E7" s="12" t="n">
        <v>1030</v>
      </c>
      <c r="F7" s="12" t="n">
        <v>150</v>
      </c>
      <c r="G7" s="12" t="n">
        <v>940</v>
      </c>
      <c r="H7" s="1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12" t="n">
        <v>170</v>
      </c>
      <c r="D8" s="12" t="n">
        <v>640</v>
      </c>
      <c r="E8" s="12" t="n">
        <v>1230</v>
      </c>
      <c r="F8" s="12" t="n">
        <v>170</v>
      </c>
      <c r="G8" s="12" t="n">
        <v>1140</v>
      </c>
      <c r="H8" s="1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12" t="n">
        <v>190</v>
      </c>
      <c r="D9" s="12" t="n">
        <v>740</v>
      </c>
      <c r="E9" s="12" t="n">
        <v>1430</v>
      </c>
      <c r="F9" s="12" t="n">
        <v>190</v>
      </c>
      <c r="G9" s="12" t="n">
        <v>1340</v>
      </c>
      <c r="H9" s="1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12" t="n">
        <v>80</v>
      </c>
      <c r="D10" s="12" t="n">
        <v>160</v>
      </c>
      <c r="E10" s="12" t="n">
        <v>520</v>
      </c>
      <c r="F10" s="12" t="n">
        <v>80</v>
      </c>
      <c r="G10" s="12" t="n">
        <v>160</v>
      </c>
      <c r="H10" s="1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12" t="n">
        <v>110</v>
      </c>
      <c r="D11" s="12" t="n">
        <v>260</v>
      </c>
      <c r="E11" s="12" t="n">
        <v>720</v>
      </c>
      <c r="F11" s="12" t="n">
        <v>110</v>
      </c>
      <c r="G11" s="12" t="n">
        <v>360</v>
      </c>
      <c r="H11" s="1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12" t="n">
        <v>140</v>
      </c>
      <c r="D12" s="12" t="n">
        <v>360</v>
      </c>
      <c r="E12" s="12" t="n">
        <v>920</v>
      </c>
      <c r="F12" s="12" t="n">
        <v>140</v>
      </c>
      <c r="G12" s="12" t="n">
        <v>560</v>
      </c>
      <c r="H12" s="1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12" t="n">
        <v>170</v>
      </c>
      <c r="D13" s="12" t="n">
        <v>460</v>
      </c>
      <c r="E13" s="12" t="n">
        <v>1120</v>
      </c>
      <c r="F13" s="12" t="n">
        <v>170</v>
      </c>
      <c r="G13" s="12" t="n">
        <v>760</v>
      </c>
      <c r="H13" s="1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12" t="n">
        <v>200</v>
      </c>
      <c r="D14" s="12" t="n">
        <v>560</v>
      </c>
      <c r="E14" s="12" t="n">
        <v>1320</v>
      </c>
      <c r="F14" s="12" t="n">
        <v>200</v>
      </c>
      <c r="G14" s="12" t="n">
        <v>960</v>
      </c>
      <c r="H14" s="1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12" t="n">
        <v>230</v>
      </c>
      <c r="D15" s="12" t="n">
        <v>660</v>
      </c>
      <c r="E15" s="12" t="n">
        <v>1520</v>
      </c>
      <c r="F15" s="12" t="n">
        <v>230</v>
      </c>
      <c r="G15" s="12" t="n">
        <v>1160</v>
      </c>
      <c r="H15" s="1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12" t="n">
        <v>260</v>
      </c>
      <c r="D16" s="12" t="n">
        <v>760</v>
      </c>
      <c r="E16" s="12" t="n">
        <v>1720</v>
      </c>
      <c r="F16" s="12" t="n">
        <v>260</v>
      </c>
      <c r="G16" s="12" t="n">
        <v>1360</v>
      </c>
      <c r="H16" s="12" t="n">
        <v>3120</v>
      </c>
    </row>
    <row r="17">
      <c r="A17" s="2" t="inlineStr">
        <is>
          <t>1 NT</t>
        </is>
      </c>
      <c r="B17" t="n">
        <v>1</v>
      </c>
      <c r="C17" s="12" t="n">
        <v>90</v>
      </c>
      <c r="D17" s="12" t="n">
        <v>180</v>
      </c>
      <c r="E17" s="12" t="n">
        <v>560</v>
      </c>
      <c r="F17" s="12" t="n">
        <v>90</v>
      </c>
      <c r="G17" s="12" t="n">
        <v>180</v>
      </c>
      <c r="H17" s="12" t="n">
        <v>760</v>
      </c>
    </row>
    <row r="18">
      <c r="B18" t="n">
        <v>2</v>
      </c>
      <c r="C18" s="12" t="n">
        <v>120</v>
      </c>
      <c r="D18" s="12" t="n">
        <v>280</v>
      </c>
      <c r="E18" s="12" t="n">
        <v>760</v>
      </c>
      <c r="F18" s="12" t="n">
        <v>120</v>
      </c>
      <c r="G18" s="12" t="n">
        <v>380</v>
      </c>
      <c r="H18" s="12" t="n">
        <v>1160</v>
      </c>
    </row>
    <row r="19">
      <c r="B19" t="n">
        <v>3</v>
      </c>
      <c r="C19" s="12" t="n">
        <v>150</v>
      </c>
      <c r="D19" s="12" t="n">
        <v>380</v>
      </c>
      <c r="E19" s="12" t="n">
        <v>960</v>
      </c>
      <c r="F19" s="12" t="n">
        <v>150</v>
      </c>
      <c r="G19" s="12" t="n">
        <v>580</v>
      </c>
      <c r="H19" s="12" t="n">
        <v>1560</v>
      </c>
    </row>
    <row r="20">
      <c r="B20" t="n">
        <v>4</v>
      </c>
      <c r="C20" s="12" t="n">
        <v>180</v>
      </c>
      <c r="D20" s="12" t="n">
        <v>480</v>
      </c>
      <c r="E20" s="12" t="n">
        <v>1160</v>
      </c>
      <c r="F20" s="12" t="n">
        <v>180</v>
      </c>
      <c r="G20" s="12" t="n">
        <v>780</v>
      </c>
      <c r="H20" s="12" t="n">
        <v>1960</v>
      </c>
    </row>
    <row r="21">
      <c r="B21" t="n">
        <v>5</v>
      </c>
      <c r="C21" s="12" t="n">
        <v>210</v>
      </c>
      <c r="D21" s="12" t="n">
        <v>580</v>
      </c>
      <c r="E21" s="12" t="n">
        <v>1360</v>
      </c>
      <c r="F21" s="12" t="n">
        <v>210</v>
      </c>
      <c r="G21" s="12" t="n">
        <v>980</v>
      </c>
      <c r="H21" s="12" t="n">
        <v>2360</v>
      </c>
    </row>
    <row r="22">
      <c r="B22" t="n">
        <v>6</v>
      </c>
      <c r="C22" s="12" t="n">
        <v>240</v>
      </c>
      <c r="D22" s="12" t="n">
        <v>680</v>
      </c>
      <c r="E22" s="12" t="n">
        <v>1560</v>
      </c>
      <c r="F22" s="12" t="n">
        <v>240</v>
      </c>
      <c r="G22" s="12" t="n">
        <v>1180</v>
      </c>
      <c r="H22" s="12" t="n">
        <v>2760</v>
      </c>
    </row>
    <row r="23">
      <c r="B23" t="n">
        <v>7</v>
      </c>
      <c r="C23" s="12" t="n">
        <v>270</v>
      </c>
      <c r="D23" s="12" t="n">
        <v>780</v>
      </c>
      <c r="E23" s="12" t="n">
        <v>1760</v>
      </c>
      <c r="F23" s="12" t="n">
        <v>270</v>
      </c>
      <c r="G23" s="12" t="n">
        <v>1380</v>
      </c>
      <c r="H23" s="12" t="n">
        <v>3160</v>
      </c>
    </row>
    <row r="24">
      <c r="A24" s="2" t="inlineStr">
        <is>
          <t>2 D/C</t>
        </is>
      </c>
      <c r="B24" t="n">
        <v>2</v>
      </c>
      <c r="C24" s="12" t="n">
        <v>90</v>
      </c>
      <c r="D24" s="12" t="n">
        <v>180</v>
      </c>
      <c r="E24" s="12" t="n">
        <v>560</v>
      </c>
      <c r="F24" s="12" t="n">
        <v>90</v>
      </c>
      <c r="G24" s="12" t="n">
        <v>180</v>
      </c>
      <c r="H24" s="12" t="n">
        <v>760</v>
      </c>
    </row>
    <row r="25">
      <c r="B25" t="n">
        <v>3</v>
      </c>
      <c r="C25" s="12" t="n">
        <v>110</v>
      </c>
      <c r="D25" s="12" t="n">
        <v>280</v>
      </c>
      <c r="E25" s="12" t="n">
        <v>760</v>
      </c>
      <c r="F25" s="12" t="n">
        <v>110</v>
      </c>
      <c r="G25" s="12" t="n">
        <v>380</v>
      </c>
      <c r="H25" s="12" t="n">
        <v>1160</v>
      </c>
    </row>
    <row r="26">
      <c r="B26" t="n">
        <v>4</v>
      </c>
      <c r="C26" s="12" t="n">
        <v>130</v>
      </c>
      <c r="D26" s="12" t="n">
        <v>380</v>
      </c>
      <c r="E26" s="12" t="n">
        <v>960</v>
      </c>
      <c r="F26" s="12" t="n">
        <v>130</v>
      </c>
      <c r="G26" s="12" t="n">
        <v>580</v>
      </c>
      <c r="H26" s="12" t="n">
        <v>1560</v>
      </c>
    </row>
    <row r="27">
      <c r="B27" t="n">
        <v>5</v>
      </c>
      <c r="C27" s="12" t="n">
        <v>150</v>
      </c>
      <c r="D27" s="12" t="n">
        <v>480</v>
      </c>
      <c r="E27" s="12" t="n">
        <v>1160</v>
      </c>
      <c r="F27" s="12" t="n">
        <v>150</v>
      </c>
      <c r="G27" s="12" t="n">
        <v>780</v>
      </c>
      <c r="H27" s="12" t="n">
        <v>1960</v>
      </c>
    </row>
    <row r="28">
      <c r="B28" t="n">
        <v>6</v>
      </c>
      <c r="C28" s="12" t="n">
        <v>170</v>
      </c>
      <c r="D28" s="12" t="n">
        <v>580</v>
      </c>
      <c r="E28" s="12" t="n">
        <v>1360</v>
      </c>
      <c r="F28" s="12" t="n">
        <v>170</v>
      </c>
      <c r="G28" s="12" t="n">
        <v>980</v>
      </c>
      <c r="H28" s="12" t="n">
        <v>2360</v>
      </c>
    </row>
    <row r="29">
      <c r="B29" t="n">
        <v>7</v>
      </c>
      <c r="C29" s="12" t="n">
        <v>190</v>
      </c>
      <c r="D29" s="12" t="n">
        <v>680</v>
      </c>
      <c r="E29" s="12" t="n">
        <v>1560</v>
      </c>
      <c r="F29" s="12" t="n">
        <v>190</v>
      </c>
      <c r="G29" s="12" t="n">
        <v>1180</v>
      </c>
      <c r="H29" s="12" t="n">
        <v>2760</v>
      </c>
    </row>
    <row r="30">
      <c r="A30" s="2" t="inlineStr">
        <is>
          <t>2 H/S</t>
        </is>
      </c>
      <c r="B30" t="n">
        <v>2</v>
      </c>
      <c r="C30" s="12" t="n">
        <v>110</v>
      </c>
      <c r="D30" s="12" t="n">
        <v>470</v>
      </c>
      <c r="E30" s="12" t="n">
        <v>640</v>
      </c>
      <c r="F30" s="12" t="n">
        <v>110</v>
      </c>
      <c r="G30" s="12" t="n">
        <v>670</v>
      </c>
      <c r="H30" s="12" t="n">
        <v>840</v>
      </c>
    </row>
    <row r="31">
      <c r="B31" t="n">
        <v>3</v>
      </c>
      <c r="C31" s="12" t="n">
        <v>140</v>
      </c>
      <c r="D31" s="12" t="n">
        <v>570</v>
      </c>
      <c r="E31" s="12" t="n">
        <v>840</v>
      </c>
      <c r="F31" s="12" t="n">
        <v>140</v>
      </c>
      <c r="G31" s="12" t="n">
        <v>870</v>
      </c>
      <c r="H31" s="12" t="n">
        <v>1240</v>
      </c>
    </row>
    <row r="32">
      <c r="B32" t="n">
        <v>4</v>
      </c>
      <c r="C32" s="12" t="n">
        <v>170</v>
      </c>
      <c r="D32" s="12" t="n">
        <v>670</v>
      </c>
      <c r="E32" s="12" t="n">
        <v>1040</v>
      </c>
      <c r="F32" s="12" t="n">
        <v>170</v>
      </c>
      <c r="G32" s="12" t="n">
        <v>1070</v>
      </c>
      <c r="H32" s="12" t="n">
        <v>1640</v>
      </c>
    </row>
    <row r="33">
      <c r="B33" t="n">
        <v>5</v>
      </c>
      <c r="C33" s="12" t="n">
        <v>200</v>
      </c>
      <c r="D33" s="12" t="n">
        <v>770</v>
      </c>
      <c r="E33" s="12" t="n">
        <v>1240</v>
      </c>
      <c r="F33" s="12" t="n">
        <v>200</v>
      </c>
      <c r="G33" s="12" t="n">
        <v>1270</v>
      </c>
      <c r="H33" s="12" t="n">
        <v>2040</v>
      </c>
    </row>
    <row r="34">
      <c r="B34" t="n">
        <v>6</v>
      </c>
      <c r="C34" s="12" t="n">
        <v>230</v>
      </c>
      <c r="D34" s="12" t="n">
        <v>870</v>
      </c>
      <c r="E34" s="12" t="n">
        <v>1440</v>
      </c>
      <c r="F34" s="12" t="n">
        <v>230</v>
      </c>
      <c r="G34" s="12" t="n">
        <v>1470</v>
      </c>
      <c r="H34" s="12" t="n">
        <v>2440</v>
      </c>
    </row>
    <row r="35">
      <c r="B35" t="n">
        <v>7</v>
      </c>
      <c r="C35" s="12" t="n">
        <v>260</v>
      </c>
      <c r="D35" s="12" t="n">
        <v>970</v>
      </c>
      <c r="E35" s="12" t="n">
        <v>1640</v>
      </c>
      <c r="F35" s="12" t="n">
        <v>260</v>
      </c>
      <c r="G35" s="12" t="n">
        <v>1670</v>
      </c>
      <c r="H35" s="12" t="n">
        <v>2840</v>
      </c>
    </row>
    <row r="36">
      <c r="A36" s="2" t="inlineStr">
        <is>
          <t>2 NT</t>
        </is>
      </c>
      <c r="B36" t="n">
        <v>2</v>
      </c>
      <c r="C36" s="12" t="n">
        <v>120</v>
      </c>
      <c r="D36" s="12" t="n">
        <v>490</v>
      </c>
      <c r="E36" s="12" t="n">
        <v>680</v>
      </c>
      <c r="F36" s="12" t="n">
        <v>120</v>
      </c>
      <c r="G36" s="12" t="n">
        <v>690</v>
      </c>
      <c r="H36" s="12" t="n">
        <v>880</v>
      </c>
    </row>
    <row r="37">
      <c r="B37" t="n">
        <v>3</v>
      </c>
      <c r="C37" s="12" t="n">
        <v>150</v>
      </c>
      <c r="D37" s="12" t="n">
        <v>590</v>
      </c>
      <c r="E37" s="12" t="n">
        <v>880</v>
      </c>
      <c r="F37" s="12" t="n">
        <v>150</v>
      </c>
      <c r="G37" s="12" t="n">
        <v>890</v>
      </c>
      <c r="H37" s="12" t="n">
        <v>1280</v>
      </c>
    </row>
    <row r="38">
      <c r="B38" t="n">
        <v>4</v>
      </c>
      <c r="C38" s="12" t="n">
        <v>180</v>
      </c>
      <c r="D38" s="12" t="n">
        <v>690</v>
      </c>
      <c r="E38" s="12" t="n">
        <v>1080</v>
      </c>
      <c r="F38" s="12" t="n">
        <v>180</v>
      </c>
      <c r="G38" s="12" t="n">
        <v>1090</v>
      </c>
      <c r="H38" s="12" t="n">
        <v>1680</v>
      </c>
    </row>
    <row r="39">
      <c r="B39" t="n">
        <v>5</v>
      </c>
      <c r="C39" s="12" t="n">
        <v>210</v>
      </c>
      <c r="D39" s="12" t="n">
        <v>790</v>
      </c>
      <c r="E39" s="12" t="n">
        <v>1280</v>
      </c>
      <c r="F39" s="12" t="n">
        <v>210</v>
      </c>
      <c r="G39" s="12" t="n">
        <v>1290</v>
      </c>
      <c r="H39" s="12" t="n">
        <v>2080</v>
      </c>
    </row>
    <row r="40">
      <c r="B40" t="n">
        <v>6</v>
      </c>
      <c r="C40" s="12" t="n">
        <v>240</v>
      </c>
      <c r="D40" s="12" t="n">
        <v>890</v>
      </c>
      <c r="E40" s="12" t="n">
        <v>1480</v>
      </c>
      <c r="F40" s="12" t="n">
        <v>240</v>
      </c>
      <c r="G40" s="12" t="n">
        <v>1490</v>
      </c>
      <c r="H40" s="12" t="n">
        <v>2480</v>
      </c>
    </row>
    <row r="41">
      <c r="B41" t="n">
        <v>7</v>
      </c>
      <c r="C41" s="12" t="n">
        <v>270</v>
      </c>
      <c r="D41" s="12" t="n">
        <v>990</v>
      </c>
      <c r="E41" s="12" t="n">
        <v>1680</v>
      </c>
      <c r="F41" s="12" t="n">
        <v>270</v>
      </c>
      <c r="G41" s="12" t="n">
        <v>1690</v>
      </c>
      <c r="H41" s="12" t="n">
        <v>2880</v>
      </c>
    </row>
    <row r="42">
      <c r="A42" s="2" t="inlineStr">
        <is>
          <t>3 D/C</t>
        </is>
      </c>
      <c r="B42" t="n">
        <v>3</v>
      </c>
      <c r="C42" s="12" t="n">
        <v>110</v>
      </c>
      <c r="D42" s="12" t="n">
        <v>470</v>
      </c>
      <c r="E42" s="12" t="n">
        <v>640</v>
      </c>
      <c r="F42" s="12" t="n">
        <v>110</v>
      </c>
      <c r="G42" s="12" t="n">
        <v>670</v>
      </c>
      <c r="H42" s="12" t="n">
        <v>840</v>
      </c>
    </row>
    <row r="43">
      <c r="B43" t="n">
        <v>4</v>
      </c>
      <c r="C43" s="12" t="n">
        <v>130</v>
      </c>
      <c r="D43" s="12" t="n">
        <v>570</v>
      </c>
      <c r="E43" s="12" t="n">
        <v>840</v>
      </c>
      <c r="F43" s="12" t="n">
        <v>130</v>
      </c>
      <c r="G43" s="12" t="n">
        <v>870</v>
      </c>
      <c r="H43" s="12" t="n">
        <v>1240</v>
      </c>
    </row>
    <row r="44">
      <c r="B44" t="n">
        <v>5</v>
      </c>
      <c r="C44" s="12" t="n">
        <v>150</v>
      </c>
      <c r="D44" s="12" t="n">
        <v>670</v>
      </c>
      <c r="E44" s="12" t="n">
        <v>1040</v>
      </c>
      <c r="F44" s="12" t="n">
        <v>150</v>
      </c>
      <c r="G44" s="12" t="n">
        <v>1070</v>
      </c>
      <c r="H44" s="12" t="n">
        <v>1640</v>
      </c>
    </row>
    <row r="45">
      <c r="B45" t="n">
        <v>6</v>
      </c>
      <c r="C45" s="12" t="n">
        <v>170</v>
      </c>
      <c r="D45" s="12" t="n">
        <v>770</v>
      </c>
      <c r="E45" s="12" t="n">
        <v>1240</v>
      </c>
      <c r="F45" s="12" t="n">
        <v>170</v>
      </c>
      <c r="G45" s="12" t="n">
        <v>1270</v>
      </c>
      <c r="H45" s="12" t="n">
        <v>2040</v>
      </c>
    </row>
    <row r="46">
      <c r="B46" t="n">
        <v>7</v>
      </c>
      <c r="C46" s="12" t="n">
        <v>190</v>
      </c>
      <c r="D46" s="12" t="n">
        <v>870</v>
      </c>
      <c r="E46" s="12" t="n">
        <v>1440</v>
      </c>
      <c r="F46" s="12" t="n">
        <v>190</v>
      </c>
      <c r="G46" s="12" t="n">
        <v>1470</v>
      </c>
      <c r="H46" s="12" t="n">
        <v>2440</v>
      </c>
    </row>
    <row r="47">
      <c r="A47" s="2" t="inlineStr">
        <is>
          <t>3 H/S</t>
        </is>
      </c>
      <c r="B47" t="n">
        <v>3</v>
      </c>
      <c r="C47" s="12" t="n">
        <v>140</v>
      </c>
      <c r="D47" s="12" t="n">
        <v>530</v>
      </c>
      <c r="E47" s="12" t="n">
        <v>760</v>
      </c>
      <c r="F47" s="12" t="n">
        <v>140</v>
      </c>
      <c r="G47" s="12" t="n">
        <v>730</v>
      </c>
      <c r="H47" s="12" t="n">
        <v>960</v>
      </c>
    </row>
    <row r="48">
      <c r="B48" t="n">
        <v>4</v>
      </c>
      <c r="C48" s="12" t="n">
        <v>170</v>
      </c>
      <c r="D48" s="12" t="n">
        <v>630</v>
      </c>
      <c r="E48" s="12" t="n">
        <v>960</v>
      </c>
      <c r="F48" s="12" t="n">
        <v>170</v>
      </c>
      <c r="G48" s="12" t="n">
        <v>930</v>
      </c>
      <c r="H48" s="12" t="n">
        <v>1360</v>
      </c>
    </row>
    <row r="49">
      <c r="B49" t="n">
        <v>5</v>
      </c>
      <c r="C49" s="12" t="n">
        <v>200</v>
      </c>
      <c r="D49" s="12" t="n">
        <v>730</v>
      </c>
      <c r="E49" s="12" t="n">
        <v>1160</v>
      </c>
      <c r="F49" s="12" t="n">
        <v>200</v>
      </c>
      <c r="G49" s="12" t="n">
        <v>1130</v>
      </c>
      <c r="H49" s="12" t="n">
        <v>1760</v>
      </c>
    </row>
    <row r="50">
      <c r="B50" t="n">
        <v>6</v>
      </c>
      <c r="C50" s="12" t="n">
        <v>230</v>
      </c>
      <c r="D50" s="12" t="n">
        <v>830</v>
      </c>
      <c r="E50" s="12" t="n">
        <v>1360</v>
      </c>
      <c r="F50" s="12" t="n">
        <v>230</v>
      </c>
      <c r="G50" s="12" t="n">
        <v>1330</v>
      </c>
      <c r="H50" s="12" t="n">
        <v>2160</v>
      </c>
    </row>
    <row r="51">
      <c r="B51" t="n">
        <v>7</v>
      </c>
      <c r="C51" s="12" t="n">
        <v>260</v>
      </c>
      <c r="D51" s="12" t="n">
        <v>930</v>
      </c>
      <c r="E51" s="12" t="n">
        <v>1560</v>
      </c>
      <c r="F51" s="12" t="n">
        <v>260</v>
      </c>
      <c r="G51" s="12" t="n">
        <v>1530</v>
      </c>
      <c r="H51" s="12" t="n">
        <v>2560</v>
      </c>
    </row>
    <row r="52">
      <c r="A52" s="2" t="inlineStr">
        <is>
          <t>3 NT</t>
        </is>
      </c>
      <c r="B52" t="n">
        <v>3</v>
      </c>
      <c r="C52" s="12" t="n">
        <v>400</v>
      </c>
      <c r="D52" s="12" t="n">
        <v>550</v>
      </c>
      <c r="E52" s="12" t="n">
        <v>800</v>
      </c>
      <c r="F52" s="12" t="n">
        <v>600</v>
      </c>
      <c r="G52" s="12" t="n">
        <v>750</v>
      </c>
      <c r="H52" s="12" t="n">
        <v>1000</v>
      </c>
    </row>
    <row r="53">
      <c r="B53" t="n">
        <v>4</v>
      </c>
      <c r="C53" s="12" t="n">
        <v>430</v>
      </c>
      <c r="D53" s="12" t="n">
        <v>650</v>
      </c>
      <c r="E53" s="12" t="n">
        <v>1000</v>
      </c>
      <c r="F53" s="12" t="n">
        <v>630</v>
      </c>
      <c r="G53" s="12" t="n">
        <v>950</v>
      </c>
      <c r="H53" s="12" t="n">
        <v>1400</v>
      </c>
    </row>
    <row r="54">
      <c r="B54" t="n">
        <v>5</v>
      </c>
      <c r="C54" s="12" t="n">
        <v>460</v>
      </c>
      <c r="D54" s="12" t="n">
        <v>750</v>
      </c>
      <c r="E54" s="12" t="n">
        <v>1200</v>
      </c>
      <c r="F54" s="12" t="n">
        <v>660</v>
      </c>
      <c r="G54" s="12" t="n">
        <v>1150</v>
      </c>
      <c r="H54" s="12" t="n">
        <v>1800</v>
      </c>
    </row>
    <row r="55">
      <c r="B55" t="n">
        <v>6</v>
      </c>
      <c r="C55" s="12" t="n">
        <v>490</v>
      </c>
      <c r="D55" s="12" t="n">
        <v>850</v>
      </c>
      <c r="E55" s="12" t="n">
        <v>1400</v>
      </c>
      <c r="F55" s="12" t="n">
        <v>690</v>
      </c>
      <c r="G55" s="12" t="n">
        <v>1350</v>
      </c>
      <c r="H55" s="12" t="n">
        <v>2200</v>
      </c>
    </row>
    <row r="56">
      <c r="B56" t="n">
        <v>7</v>
      </c>
      <c r="C56" s="12" t="n">
        <v>520</v>
      </c>
      <c r="D56" s="12" t="n">
        <v>950</v>
      </c>
      <c r="E56" s="12" t="n">
        <v>1600</v>
      </c>
      <c r="F56" s="12" t="n">
        <v>720</v>
      </c>
      <c r="G56" s="12" t="n">
        <v>1550</v>
      </c>
      <c r="H56" s="12" t="n">
        <v>2600</v>
      </c>
    </row>
    <row r="57">
      <c r="A57" s="2" t="inlineStr">
        <is>
          <t>4 D/C</t>
        </is>
      </c>
      <c r="B57" t="n">
        <v>4</v>
      </c>
      <c r="C57" s="12" t="n">
        <v>130</v>
      </c>
      <c r="D57" s="12" t="n">
        <v>510</v>
      </c>
      <c r="E57" s="12" t="n">
        <v>720</v>
      </c>
      <c r="F57" s="12" t="n">
        <v>130</v>
      </c>
      <c r="G57" s="12" t="n">
        <v>710</v>
      </c>
      <c r="H57" s="12" t="n">
        <v>920</v>
      </c>
    </row>
    <row r="58">
      <c r="B58" t="n">
        <v>5</v>
      </c>
      <c r="C58" s="12" t="n">
        <v>150</v>
      </c>
      <c r="D58" s="12" t="n">
        <v>610</v>
      </c>
      <c r="E58" s="12" t="n">
        <v>920</v>
      </c>
      <c r="F58" s="12" t="n">
        <v>150</v>
      </c>
      <c r="G58" s="12" t="n">
        <v>910</v>
      </c>
      <c r="H58" s="12" t="n">
        <v>1320</v>
      </c>
    </row>
    <row r="59">
      <c r="B59" t="n">
        <v>6</v>
      </c>
      <c r="C59" s="12" t="n">
        <v>170</v>
      </c>
      <c r="D59" s="12" t="n">
        <v>710</v>
      </c>
      <c r="E59" s="12" t="n">
        <v>1120</v>
      </c>
      <c r="F59" s="12" t="n">
        <v>170</v>
      </c>
      <c r="G59" s="12" t="n">
        <v>1110</v>
      </c>
      <c r="H59" s="12" t="n">
        <v>1720</v>
      </c>
    </row>
    <row r="60">
      <c r="B60" t="n">
        <v>7</v>
      </c>
      <c r="C60" s="12" t="n">
        <v>190</v>
      </c>
      <c r="D60" s="12" t="n">
        <v>810</v>
      </c>
      <c r="E60" s="12" t="n">
        <v>1320</v>
      </c>
      <c r="F60" s="12" t="n">
        <v>190</v>
      </c>
      <c r="G60" s="12" t="n">
        <v>1310</v>
      </c>
      <c r="H60" s="12" t="n">
        <v>2120</v>
      </c>
    </row>
    <row r="61">
      <c r="A61" s="2" t="inlineStr">
        <is>
          <t>4 H/S</t>
        </is>
      </c>
      <c r="B61" t="n">
        <v>4</v>
      </c>
      <c r="C61" s="12" t="n">
        <v>420</v>
      </c>
      <c r="D61" s="12" t="n">
        <v>590</v>
      </c>
      <c r="E61" s="12" t="n">
        <v>880</v>
      </c>
      <c r="F61" s="12" t="n">
        <v>620</v>
      </c>
      <c r="G61" s="12" t="n">
        <v>790</v>
      </c>
      <c r="H61" s="12" t="n">
        <v>1080</v>
      </c>
    </row>
    <row r="62">
      <c r="B62" t="n">
        <v>5</v>
      </c>
      <c r="C62" s="12" t="n">
        <v>450</v>
      </c>
      <c r="D62" s="12" t="n">
        <v>690</v>
      </c>
      <c r="E62" s="12" t="n">
        <v>1080</v>
      </c>
      <c r="F62" s="12" t="n">
        <v>650</v>
      </c>
      <c r="G62" s="12" t="n">
        <v>990</v>
      </c>
      <c r="H62" s="12" t="n">
        <v>1480</v>
      </c>
    </row>
    <row r="63">
      <c r="B63" t="n">
        <v>6</v>
      </c>
      <c r="C63" s="12" t="n">
        <v>480</v>
      </c>
      <c r="D63" s="12" t="n">
        <v>790</v>
      </c>
      <c r="E63" s="12" t="n">
        <v>1280</v>
      </c>
      <c r="F63" s="12" t="n">
        <v>680</v>
      </c>
      <c r="G63" s="12" t="n">
        <v>1190</v>
      </c>
      <c r="H63" s="12" t="n">
        <v>1880</v>
      </c>
    </row>
    <row r="64">
      <c r="B64" t="n">
        <v>7</v>
      </c>
      <c r="C64" s="12" t="n">
        <v>510</v>
      </c>
      <c r="D64" s="12" t="n">
        <v>890</v>
      </c>
      <c r="E64" s="12" t="n">
        <v>1480</v>
      </c>
      <c r="F64" s="12" t="n">
        <v>710</v>
      </c>
      <c r="G64" s="12" t="n">
        <v>1390</v>
      </c>
      <c r="H64" s="12" t="n">
        <v>2280</v>
      </c>
    </row>
    <row r="65">
      <c r="A65" s="2" t="inlineStr">
        <is>
          <t>4 NT</t>
        </is>
      </c>
      <c r="B65" t="n">
        <v>4</v>
      </c>
      <c r="C65" s="12" t="n">
        <v>430</v>
      </c>
      <c r="D65" s="12" t="n">
        <v>610</v>
      </c>
      <c r="E65" s="12" t="n">
        <v>920</v>
      </c>
      <c r="F65" s="12" t="n">
        <v>630</v>
      </c>
      <c r="G65" s="12" t="n">
        <v>810</v>
      </c>
      <c r="H65" s="12" t="n">
        <v>1120</v>
      </c>
    </row>
    <row r="66">
      <c r="B66" t="n">
        <v>5</v>
      </c>
      <c r="C66" s="12" t="n">
        <v>460</v>
      </c>
      <c r="D66" s="12" t="n">
        <v>710</v>
      </c>
      <c r="E66" s="12" t="n">
        <v>1120</v>
      </c>
      <c r="F66" s="12" t="n">
        <v>660</v>
      </c>
      <c r="G66" s="12" t="n">
        <v>1010</v>
      </c>
      <c r="H66" s="12" t="n">
        <v>1520</v>
      </c>
    </row>
    <row r="67">
      <c r="B67" t="n">
        <v>6</v>
      </c>
      <c r="C67" s="12" t="n">
        <v>490</v>
      </c>
      <c r="D67" s="12" t="n">
        <v>810</v>
      </c>
      <c r="E67" s="12" t="n">
        <v>1320</v>
      </c>
      <c r="F67" s="12" t="n">
        <v>690</v>
      </c>
      <c r="G67" s="12" t="n">
        <v>1210</v>
      </c>
      <c r="H67" s="12" t="n">
        <v>1920</v>
      </c>
    </row>
    <row r="68">
      <c r="B68" t="n">
        <v>7</v>
      </c>
      <c r="C68" s="12" t="n">
        <v>520</v>
      </c>
      <c r="D68" s="12" t="n">
        <v>910</v>
      </c>
      <c r="E68" s="12" t="n">
        <v>1520</v>
      </c>
      <c r="F68" s="12" t="n">
        <v>720</v>
      </c>
      <c r="G68" s="12" t="n">
        <v>1410</v>
      </c>
      <c r="H68" s="12" t="n">
        <v>2320</v>
      </c>
    </row>
    <row r="69">
      <c r="A69" s="2" t="inlineStr">
        <is>
          <t>5 D/C</t>
        </is>
      </c>
      <c r="B69" t="n">
        <v>5</v>
      </c>
      <c r="C69" s="12" t="n">
        <v>400</v>
      </c>
      <c r="D69" s="12" t="n">
        <v>550</v>
      </c>
      <c r="E69" s="12" t="n">
        <v>800</v>
      </c>
      <c r="F69" s="12" t="n">
        <v>600</v>
      </c>
      <c r="G69" s="12" t="n">
        <v>750</v>
      </c>
      <c r="H69" s="12" t="n">
        <v>1000</v>
      </c>
    </row>
    <row r="70">
      <c r="B70" t="n">
        <v>6</v>
      </c>
      <c r="C70" s="12" t="n">
        <v>420</v>
      </c>
      <c r="D70" s="12" t="n">
        <v>650</v>
      </c>
      <c r="E70" s="12" t="n">
        <v>1000</v>
      </c>
      <c r="F70" s="12" t="n">
        <v>620</v>
      </c>
      <c r="G70" s="12" t="n">
        <v>950</v>
      </c>
      <c r="H70" s="12" t="n">
        <v>1400</v>
      </c>
    </row>
    <row r="71">
      <c r="B71" t="n">
        <v>7</v>
      </c>
      <c r="C71" s="12" t="n">
        <v>440</v>
      </c>
      <c r="D71" s="12" t="n">
        <v>750</v>
      </c>
      <c r="E71" s="12" t="n">
        <v>1200</v>
      </c>
      <c r="F71" s="12" t="n">
        <v>640</v>
      </c>
      <c r="G71" s="12" t="n">
        <v>1150</v>
      </c>
      <c r="H71" s="12" t="n">
        <v>1800</v>
      </c>
    </row>
    <row r="72">
      <c r="A72" s="2" t="inlineStr">
        <is>
          <t>5 H/S</t>
        </is>
      </c>
      <c r="B72" t="n">
        <v>5</v>
      </c>
      <c r="C72" s="12" t="n">
        <v>450</v>
      </c>
      <c r="D72" s="12" t="n">
        <v>650</v>
      </c>
      <c r="E72" s="12" t="n">
        <v>1000</v>
      </c>
      <c r="F72" s="12" t="n">
        <v>650</v>
      </c>
      <c r="G72" s="12" t="n">
        <v>850</v>
      </c>
      <c r="H72" s="12" t="n">
        <v>1200</v>
      </c>
    </row>
    <row r="73">
      <c r="B73" t="n">
        <v>6</v>
      </c>
      <c r="C73" s="12" t="n">
        <v>480</v>
      </c>
      <c r="D73" s="12" t="n">
        <v>750</v>
      </c>
      <c r="E73" s="12" t="n">
        <v>1200</v>
      </c>
      <c r="F73" s="12" t="n">
        <v>680</v>
      </c>
      <c r="G73" s="12" t="n">
        <v>1050</v>
      </c>
      <c r="H73" s="12" t="n">
        <v>1600</v>
      </c>
    </row>
    <row r="74">
      <c r="B74" t="n">
        <v>7</v>
      </c>
      <c r="C74" s="12" t="n">
        <v>510</v>
      </c>
      <c r="D74" s="12" t="n">
        <v>850</v>
      </c>
      <c r="E74" s="12" t="n">
        <v>1400</v>
      </c>
      <c r="F74" s="12" t="n">
        <v>710</v>
      </c>
      <c r="G74" s="12" t="n">
        <v>1250</v>
      </c>
      <c r="H74" s="12" t="n">
        <v>2000</v>
      </c>
    </row>
    <row r="75">
      <c r="A75" s="2" t="inlineStr">
        <is>
          <t>5 NT</t>
        </is>
      </c>
      <c r="B75" t="n">
        <v>5</v>
      </c>
      <c r="C75" s="12" t="n">
        <v>460</v>
      </c>
      <c r="D75" s="12" t="n">
        <v>670</v>
      </c>
      <c r="E75" s="12" t="n">
        <v>1040</v>
      </c>
      <c r="F75" s="12" t="n">
        <v>660</v>
      </c>
      <c r="G75" s="12" t="n">
        <v>870</v>
      </c>
      <c r="H75" s="12" t="n">
        <v>1240</v>
      </c>
    </row>
    <row r="76">
      <c r="B76" t="n">
        <v>6</v>
      </c>
      <c r="C76" s="12" t="n">
        <v>490</v>
      </c>
      <c r="D76" s="12" t="n">
        <v>770</v>
      </c>
      <c r="E76" s="12" t="n">
        <v>1240</v>
      </c>
      <c r="F76" s="12" t="n">
        <v>690</v>
      </c>
      <c r="G76" s="12" t="n">
        <v>1070</v>
      </c>
      <c r="H76" s="12" t="n">
        <v>1640</v>
      </c>
    </row>
    <row r="77">
      <c r="B77" t="n">
        <v>7</v>
      </c>
      <c r="C77" s="12" t="n">
        <v>520</v>
      </c>
      <c r="D77" s="12" t="n">
        <v>870</v>
      </c>
      <c r="E77" s="12" t="n">
        <v>1440</v>
      </c>
      <c r="F77" s="12" t="n">
        <v>720</v>
      </c>
      <c r="G77" s="12" t="n">
        <v>1270</v>
      </c>
      <c r="H77" s="12" t="n">
        <v>2040</v>
      </c>
    </row>
    <row r="78">
      <c r="A78" s="2" t="inlineStr">
        <is>
          <t>6 D/C</t>
        </is>
      </c>
      <c r="B78" t="n">
        <v>6</v>
      </c>
      <c r="C78" s="12" t="n">
        <v>920</v>
      </c>
      <c r="D78" s="12" t="n">
        <v>1090</v>
      </c>
      <c r="E78" s="12" t="n">
        <v>1380</v>
      </c>
      <c r="F78" s="12" t="n">
        <v>1370</v>
      </c>
      <c r="G78" s="12" t="n">
        <v>1540</v>
      </c>
      <c r="H78" s="12" t="n">
        <v>1830</v>
      </c>
    </row>
    <row r="79">
      <c r="B79" t="n">
        <v>7</v>
      </c>
      <c r="C79" s="12" t="n">
        <v>940</v>
      </c>
      <c r="D79" s="12" t="n">
        <v>1190</v>
      </c>
      <c r="E79" s="12" t="n">
        <v>1580</v>
      </c>
      <c r="F79" s="12" t="n">
        <v>1390</v>
      </c>
      <c r="G79" s="12" t="n">
        <v>1740</v>
      </c>
      <c r="H79" s="12" t="n">
        <v>2230</v>
      </c>
    </row>
    <row r="80">
      <c r="A80" s="2" t="inlineStr">
        <is>
          <t>6 H/S</t>
        </is>
      </c>
      <c r="B80" t="n">
        <v>6</v>
      </c>
      <c r="C80" s="12" t="n">
        <v>980</v>
      </c>
      <c r="D80" s="12" t="n">
        <v>1210</v>
      </c>
      <c r="E80" s="12" t="n">
        <v>1620</v>
      </c>
      <c r="F80" s="12" t="n">
        <v>1430</v>
      </c>
      <c r="G80" s="12" t="n">
        <v>1660</v>
      </c>
      <c r="H80" s="12" t="n">
        <v>2070</v>
      </c>
    </row>
    <row r="81">
      <c r="B81" t="n">
        <v>7</v>
      </c>
      <c r="C81" s="12" t="n">
        <v>1010</v>
      </c>
      <c r="D81" s="12" t="n">
        <v>1310</v>
      </c>
      <c r="E81" s="12" t="n">
        <v>1820</v>
      </c>
      <c r="F81" s="12" t="n">
        <v>1460</v>
      </c>
      <c r="G81" s="12" t="n">
        <v>1860</v>
      </c>
      <c r="H81" s="12" t="n">
        <v>2470</v>
      </c>
    </row>
    <row r="82">
      <c r="A82" s="2" t="inlineStr">
        <is>
          <t>6 NT</t>
        </is>
      </c>
      <c r="B82" t="n">
        <v>6</v>
      </c>
      <c r="C82" s="12" t="n">
        <v>990</v>
      </c>
      <c r="D82" s="12" t="n">
        <v>1230</v>
      </c>
      <c r="E82" s="12" t="n">
        <v>1660</v>
      </c>
      <c r="F82" s="12" t="n">
        <v>1440</v>
      </c>
      <c r="G82" s="12" t="n">
        <v>1680</v>
      </c>
      <c r="H82" s="12" t="n">
        <v>2110</v>
      </c>
    </row>
    <row r="83">
      <c r="B83" t="n">
        <v>7</v>
      </c>
      <c r="C83" s="12" t="n">
        <v>1020</v>
      </c>
      <c r="D83" s="12" t="n">
        <v>1330</v>
      </c>
      <c r="E83" s="12" t="n">
        <v>1860</v>
      </c>
      <c r="F83" s="12" t="n">
        <v>1470</v>
      </c>
      <c r="G83" s="12" t="n">
        <v>1880</v>
      </c>
      <c r="H83" s="12" t="n">
        <v>2510</v>
      </c>
    </row>
    <row r="84">
      <c r="A84" s="2" t="inlineStr">
        <is>
          <t>7 D/C</t>
        </is>
      </c>
      <c r="B84" t="n">
        <v>7</v>
      </c>
      <c r="C84" s="12" t="n">
        <v>1440</v>
      </c>
      <c r="D84" s="12" t="n">
        <v>1630</v>
      </c>
      <c r="E84" s="12" t="n">
        <v>1960</v>
      </c>
      <c r="F84" s="12" t="n">
        <v>2140</v>
      </c>
      <c r="G84" s="12" t="n">
        <v>2330</v>
      </c>
      <c r="H84" s="12" t="n">
        <v>2660</v>
      </c>
    </row>
    <row r="85">
      <c r="A85" s="2" t="inlineStr">
        <is>
          <t>7 H/S</t>
        </is>
      </c>
      <c r="B85" t="n">
        <v>7</v>
      </c>
      <c r="C85" s="12" t="n">
        <v>1510</v>
      </c>
      <c r="D85" s="12" t="n">
        <v>1770</v>
      </c>
      <c r="E85" s="12" t="n">
        <v>2240</v>
      </c>
      <c r="F85" s="12" t="n">
        <v>2210</v>
      </c>
      <c r="G85" s="12" t="n">
        <v>2470</v>
      </c>
      <c r="H85" s="12" t="n">
        <v>2940</v>
      </c>
    </row>
    <row r="86">
      <c r="A86" s="2" t="inlineStr">
        <is>
          <t>7 NT</t>
        </is>
      </c>
      <c r="B86" t="n">
        <v>7</v>
      </c>
      <c r="C86" s="12" t="n">
        <v>1520</v>
      </c>
      <c r="D86" s="12" t="n">
        <v>1790</v>
      </c>
      <c r="E86" s="12" t="n">
        <v>2280</v>
      </c>
      <c r="F86" s="12" t="n">
        <v>2220</v>
      </c>
      <c r="G86" s="12" t="n">
        <v>2490</v>
      </c>
      <c r="H86" s="1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2026-07-29T19:46:40Z</dcterms:created>
  <dcterms:modified xsi:type="dcterms:W3CDTF">2026-07-29T19:46:40Z</dcterms:modified>
</cp:coreProperties>
</file>