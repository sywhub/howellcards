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6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5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59</t>
        </is>
      </c>
      <c r="C2" t="inlineStr">
        <is>
          <t>Name 26</t>
        </is>
      </c>
      <c r="D2" s="4">
        <f>SUMIF('By Board'!$D$3:$D$47,"=1",'By Board'!$L$3:$L$47)+SUMIF('By Board'!$E$3:$E$47,"=1",'By Board'!$M$3:$M$47)</f>
        <v/>
      </c>
      <c r="E2" s="5">
        <f>SUMIF('By Board'!$D$3:$D$47,"=1",'By Board'!$N$3:$N$47)/15+SUMIF('By Board'!$E$3:$E$47,"=1",'By Board'!$O$3:$O$47)/15</f>
        <v/>
      </c>
    </row>
    <row r="3">
      <c r="A3" t="n">
        <v>2</v>
      </c>
      <c r="B3" t="inlineStr">
        <is>
          <t>Name 61</t>
        </is>
      </c>
      <c r="C3" t="inlineStr">
        <is>
          <t>Name 21</t>
        </is>
      </c>
      <c r="D3" s="4">
        <f>SUMIF('By Board'!$D$3:$D$47,"=2",'By Board'!$L$3:$L$47)+SUMIF('By Board'!$E$3:$E$47,"=2",'By Board'!$M$3:$M$47)</f>
        <v/>
      </c>
      <c r="E3" s="5">
        <f>SUMIF('By Board'!$D$3:$D$47,"=2",'By Board'!$N$3:$N$47)/15+SUMIF('By Board'!$E$3:$E$47,"=2",'By Board'!$O$3:$O$47)/15</f>
        <v/>
      </c>
    </row>
    <row r="4">
      <c r="A4" t="n">
        <v>3</v>
      </c>
      <c r="B4" t="inlineStr">
        <is>
          <t>Name 53</t>
        </is>
      </c>
      <c r="C4" t="inlineStr">
        <is>
          <t>Name 23</t>
        </is>
      </c>
      <c r="D4" s="4">
        <f>SUMIF('By Board'!$D$3:$D$47,"=3",'By Board'!$L$3:$L$47)+SUMIF('By Board'!$E$3:$E$47,"=3",'By Board'!$M$3:$M$47)</f>
        <v/>
      </c>
      <c r="E4" s="5">
        <f>SUMIF('By Board'!$D$3:$D$47,"=3",'By Board'!$N$3:$N$47)/15+SUMIF('By Board'!$E$3:$E$47,"=3",'By Board'!$O$3:$O$47)/15</f>
        <v/>
      </c>
    </row>
    <row r="5">
      <c r="A5" t="n">
        <v>4</v>
      </c>
      <c r="B5" t="inlineStr">
        <is>
          <t>Name 47</t>
        </is>
      </c>
      <c r="C5" t="inlineStr">
        <is>
          <t>Name 27</t>
        </is>
      </c>
      <c r="D5" s="4">
        <f>SUMIF('By Board'!$D$3:$D$47,"=4",'By Board'!$L$3:$L$47)+SUMIF('By Board'!$E$3:$E$47,"=4",'By Board'!$M$3:$M$47)</f>
        <v/>
      </c>
      <c r="E5" s="5">
        <f>SUMIF('By Board'!$D$3:$D$47,"=4",'By Board'!$N$3:$N$47)/15+SUMIF('By Board'!$E$3:$E$47,"=4",'By Board'!$O$3:$O$47)/15</f>
        <v/>
      </c>
    </row>
    <row r="6">
      <c r="A6" t="n">
        <v>5</v>
      </c>
      <c r="B6" t="inlineStr">
        <is>
          <t>Name 40</t>
        </is>
      </c>
      <c r="C6" t="inlineStr">
        <is>
          <t>Name 14</t>
        </is>
      </c>
      <c r="D6" s="4">
        <f>SUMIF('By Board'!$D$3:$D$47,"=5",'By Board'!$L$3:$L$47)+SUMIF('By Board'!$E$3:$E$47,"=5",'By Board'!$M$3:$M$47)</f>
        <v/>
      </c>
      <c r="E6" s="5">
        <f>SUMIF('By Board'!$D$3:$D$47,"=5",'By Board'!$N$3:$N$47)/15+SUMIF('By Board'!$E$3:$E$47,"=5",'By Board'!$O$3:$O$47)/15</f>
        <v/>
      </c>
    </row>
    <row r="7">
      <c r="A7" t="n">
        <v>6</v>
      </c>
      <c r="B7" t="inlineStr">
        <is>
          <t>Name 51</t>
        </is>
      </c>
      <c r="C7" t="inlineStr">
        <is>
          <t>Name 46</t>
        </is>
      </c>
      <c r="D7" s="4">
        <f>SUMIF('By Board'!$D$3:$D$47,"=6",'By Board'!$L$3:$L$47)+0</f>
        <v/>
      </c>
      <c r="E7" s="5">
        <f>SUMIF('By Board'!$D$3:$D$47,"=6",'By Board'!$N$3:$N$47)/15+0/15</f>
        <v/>
      </c>
    </row>
    <row r="8">
      <c r="D8" s="6">
        <f>SUM(D2:D7)</f>
        <v/>
      </c>
      <c r="E8" s="7">
        <f>AVERAGE(E2:E7)</f>
        <v/>
      </c>
    </row>
    <row r="10">
      <c r="A10" t="inlineStr">
        <is>
          <t>Array Formula below, remove single quote</t>
        </is>
      </c>
    </row>
    <row r="11">
      <c r="A11" s="3" t="inlineStr">
        <is>
          <t>IMP Ranking</t>
        </is>
      </c>
    </row>
    <row r="12">
      <c r="A12" t="inlineStr">
        <is>
          <t>'=SORT(A2:E7,4,-1)</t>
        </is>
      </c>
      <c r="D12" s="4" t="n"/>
      <c r="E12" s="8" t="n"/>
    </row>
    <row r="13">
      <c r="D13" s="4" t="n"/>
      <c r="E13" s="8" t="n"/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22">
      <c r="A22" s="3" t="inlineStr">
        <is>
          <t>MP Ranking</t>
        </is>
      </c>
    </row>
    <row r="23">
      <c r="A23" t="inlineStr">
        <is>
          <t>'=SORT(A2:E7,5,-1)</t>
        </is>
      </c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</sheetData>
  <mergeCells count="2">
    <mergeCell ref="A11:E11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V2" s="3" t="inlineStr">
        <is>
          <t>EW MP Scores</t>
        </is>
      </c>
      <c r="X2" s="10" t="inlineStr">
        <is>
          <t>NS IMP Pair-wise</t>
        </is>
      </c>
      <c r="Z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4">
        <f>SUM(T3:U3)</f>
        <v/>
      </c>
      <c r="Q3" s="4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4">
        <f>SUM(T4:U4)</f>
        <v/>
      </c>
      <c r="Q4" s="4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4">
        <f>SUM(T6:U6)</f>
        <v/>
      </c>
      <c r="Q6" s="4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4">
        <f>SUM(T7:U7)</f>
        <v/>
      </c>
      <c r="Q7" s="4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4">
        <f>SUM(T9:U9)</f>
        <v/>
      </c>
      <c r="Q9" s="4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4">
        <f>SUM(T10:U10)</f>
        <v/>
      </c>
      <c r="Q10" s="4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4">
        <f>SUM(T12:U12)</f>
        <v/>
      </c>
      <c r="Q12" s="4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4">
        <f>SUM(T13:U13)</f>
        <v/>
      </c>
      <c r="Q13" s="4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4">
        <f>SUM(T15:U15)</f>
        <v/>
      </c>
      <c r="Q15" s="4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4">
        <f>SUM(T16:U16)</f>
        <v/>
      </c>
      <c r="Q16" s="4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4">
        <f>SUM(T18:U18)</f>
        <v/>
      </c>
      <c r="Q18" s="4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4">
        <f>SUM(T19:U19)</f>
        <v/>
      </c>
      <c r="Q19" s="4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4">
        <f>SUM(T21:U21)</f>
        <v/>
      </c>
      <c r="Q21" s="4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4">
        <f>SUM(T22:U22)</f>
        <v/>
      </c>
      <c r="Q22" s="4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4">
        <f>SUM(T24:U24)</f>
        <v/>
      </c>
      <c r="Q24" s="4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4">
        <f>SUM(T25:U25)</f>
        <v/>
      </c>
      <c r="Q25" s="4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4">
        <f>SUM(T27:U27)</f>
        <v/>
      </c>
      <c r="Q27" s="4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4">
        <f>SUM(T28:U28)</f>
        <v/>
      </c>
      <c r="Q28" s="4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4">
        <f>SUM(T30:U30)</f>
        <v/>
      </c>
      <c r="Q30" s="4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4">
        <f>SUM(T31:U31)</f>
        <v/>
      </c>
      <c r="Q31" s="4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4">
        <f>SUM(T33:U33)</f>
        <v/>
      </c>
      <c r="Q33" s="4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4">
        <f>SUM(T34:U34)</f>
        <v/>
      </c>
      <c r="Q34" s="4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4">
        <f>SUM(T36:U36)</f>
        <v/>
      </c>
      <c r="Q36" s="4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4">
        <f>SUM(T37:U37)</f>
        <v/>
      </c>
      <c r="Q37" s="4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4">
        <f>SUM(T39:U39)</f>
        <v/>
      </c>
      <c r="Q39" s="4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4">
        <f>SUM(T40:U40)</f>
        <v/>
      </c>
      <c r="Q40" s="4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4">
        <f>SUM(T42:U42)</f>
        <v/>
      </c>
      <c r="Q42" s="4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4">
        <f>SUM(T43:U43)</f>
        <v/>
      </c>
      <c r="Q43" s="4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4">
        <f>SUM(T45:U45)</f>
        <v/>
      </c>
      <c r="Q45" s="4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4">
        <f>SUM(T46:U46)</f>
        <v/>
      </c>
      <c r="Q46" s="4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2026-02-02T17:46:14Z</dcterms:created>
  <dcterms:modified xsi:type="dcterms:W3CDTF">2026-02-02T17:46:14Z</dcterms:modified>
</cp:coreProperties>
</file>