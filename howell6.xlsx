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0.0%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medium">
        <color rgb="00000000"/>
      </left>
    </border>
    <border>
      <left/>
      <bottom style="thin">
        <color rgb="00000000"/>
      </bottom>
    </border>
    <border>
      <left style="medium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164" fontId="0" fillId="0" borderId="3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center"/>
    </xf>
    <xf numFmtId="164" fontId="0" fillId="0" borderId="5" pivotButton="0" quotePrefix="0" xfId="0"/>
    <xf numFmtId="164" fontId="0" fillId="0" borderId="4" pivotButton="0" quotePrefix="0" xfId="0"/>
    <xf numFmtId="165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29,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6</v>
      </c>
    </row>
    <row r="4">
      <c r="A4" s="2" t="inlineStr">
        <is>
          <t>Tables</t>
        </is>
      </c>
      <c r="B4" s="2" t="n">
        <v>3</v>
      </c>
    </row>
    <row r="5">
      <c r="A5" s="2" t="inlineStr">
        <is>
          <t>Rounds</t>
        </is>
      </c>
      <c r="B5" s="2" t="n">
        <v>5</v>
      </c>
    </row>
    <row r="6">
      <c r="A6" s="2" t="inlineStr">
        <is>
          <t>Boards per round</t>
        </is>
      </c>
      <c r="B6" s="2" t="n">
        <v>3</v>
      </c>
    </row>
    <row r="7">
      <c r="A7" s="2" t="inlineStr">
        <is>
          <t>Total Boards to play</t>
        </is>
      </c>
      <c r="B7" s="2" t="n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70</t>
        </is>
      </c>
      <c r="C2" t="inlineStr">
        <is>
          <t>Name 87</t>
        </is>
      </c>
      <c r="D2" s="4">
        <f>SUMIF('By Board'!$D$3:$D$47,"=1",'By Board'!$L$3:$L$47)+SUMIF('By Board'!$E$3:$E$47,"=1",'By Board'!$M$3:$M$47)</f>
        <v/>
      </c>
      <c r="E2" s="5">
        <f>SUMIF('By Board'!$D$3:$D$47,"=1",'By Board'!$N$3:$N$47)/15+SUMIF('By Board'!$E$3:$E$47,"=1",'By Board'!$O$3:$O$47)/15</f>
        <v/>
      </c>
    </row>
    <row r="3">
      <c r="A3" t="n">
        <v>2</v>
      </c>
      <c r="B3" t="inlineStr">
        <is>
          <t>Name 82</t>
        </is>
      </c>
      <c r="C3" t="inlineStr">
        <is>
          <t>Name 52</t>
        </is>
      </c>
      <c r="D3" s="4">
        <f>SUMIF('By Board'!$D$3:$D$47,"=2",'By Board'!$L$3:$L$47)+SUMIF('By Board'!$E$3:$E$47,"=2",'By Board'!$M$3:$M$47)</f>
        <v/>
      </c>
      <c r="E3" s="5">
        <f>SUMIF('By Board'!$D$3:$D$47,"=2",'By Board'!$N$3:$N$47)/15+SUMIF('By Board'!$E$3:$E$47,"=2",'By Board'!$O$3:$O$47)/15</f>
        <v/>
      </c>
    </row>
    <row r="4">
      <c r="A4" t="n">
        <v>3</v>
      </c>
      <c r="B4" t="inlineStr">
        <is>
          <t>Name 55</t>
        </is>
      </c>
      <c r="C4" t="inlineStr">
        <is>
          <t>Name 47</t>
        </is>
      </c>
      <c r="D4" s="4">
        <f>SUMIF('By Board'!$D$3:$D$47,"=3",'By Board'!$L$3:$L$47)+SUMIF('By Board'!$E$3:$E$47,"=3",'By Board'!$M$3:$M$47)</f>
        <v/>
      </c>
      <c r="E4" s="5">
        <f>SUMIF('By Board'!$D$3:$D$47,"=3",'By Board'!$N$3:$N$47)/15+SUMIF('By Board'!$E$3:$E$47,"=3",'By Board'!$O$3:$O$47)/15</f>
        <v/>
      </c>
    </row>
    <row r="5">
      <c r="A5" t="n">
        <v>4</v>
      </c>
      <c r="B5" t="inlineStr">
        <is>
          <t>Name 48</t>
        </is>
      </c>
      <c r="C5" t="inlineStr">
        <is>
          <t>Name 88</t>
        </is>
      </c>
      <c r="D5" s="4">
        <f>SUMIF('By Board'!$D$3:$D$47,"=4",'By Board'!$L$3:$L$47)+SUMIF('By Board'!$E$3:$E$47,"=4",'By Board'!$M$3:$M$47)</f>
        <v/>
      </c>
      <c r="E5" s="5">
        <f>SUMIF('By Board'!$D$3:$D$47,"=4",'By Board'!$N$3:$N$47)/15+SUMIF('By Board'!$E$3:$E$47,"=4",'By Board'!$O$3:$O$47)/15</f>
        <v/>
      </c>
    </row>
    <row r="6">
      <c r="A6" t="n">
        <v>5</v>
      </c>
      <c r="B6" t="inlineStr">
        <is>
          <t>Name 74</t>
        </is>
      </c>
      <c r="C6" t="inlineStr">
        <is>
          <t>Name 15</t>
        </is>
      </c>
      <c r="D6" s="4">
        <f>SUMIF('By Board'!$D$3:$D$47,"=5",'By Board'!$L$3:$L$47)+SUMIF('By Board'!$E$3:$E$47,"=5",'By Board'!$M$3:$M$47)</f>
        <v/>
      </c>
      <c r="E6" s="5">
        <f>SUMIF('By Board'!$D$3:$D$47,"=5",'By Board'!$N$3:$N$47)/15+SUMIF('By Board'!$E$3:$E$47,"=5",'By Board'!$O$3:$O$47)/15</f>
        <v/>
      </c>
    </row>
    <row r="7">
      <c r="A7" t="n">
        <v>6</v>
      </c>
      <c r="B7" t="inlineStr">
        <is>
          <t>Name 84</t>
        </is>
      </c>
      <c r="C7" t="inlineStr">
        <is>
          <t>Name 70</t>
        </is>
      </c>
      <c r="D7" s="4">
        <f>SUMIF('By Board'!$D$3:$D$47,"=6",'By Board'!$L$3:$L$47)+0</f>
        <v/>
      </c>
      <c r="E7" s="5">
        <f>SUMIF('By Board'!$D$3:$D$47,"=6",'By Board'!$N$3:$N$47)/15+0/15</f>
        <v/>
      </c>
    </row>
    <row r="8">
      <c r="D8" s="6">
        <f>SUM(D2:D7)</f>
        <v/>
      </c>
      <c r="E8" s="7">
        <f>AVERAGE(E2:E7)</f>
        <v/>
      </c>
    </row>
    <row r="10">
      <c r="A10" t="inlineStr">
        <is>
          <t>Array Formula below, remove single quote</t>
        </is>
      </c>
    </row>
    <row r="11">
      <c r="D11" s="4" t="n"/>
      <c r="E11" s="8" t="n"/>
    </row>
    <row r="12">
      <c r="D12" s="4" t="n"/>
      <c r="E12" s="8" t="n"/>
    </row>
    <row r="13">
      <c r="D13" s="4" t="n"/>
      <c r="E13" s="8" t="n"/>
    </row>
    <row r="14">
      <c r="D14" s="4" t="n"/>
      <c r="E14" s="8" t="n"/>
    </row>
    <row r="15">
      <c r="D15" s="4" t="n"/>
      <c r="E15" s="8" t="n"/>
    </row>
    <row r="16">
      <c r="D16" s="4" t="n"/>
      <c r="E16" s="8" t="n"/>
    </row>
    <row r="19">
      <c r="A19" t="inlineStr">
        <is>
          <t>'=SORT(A2:E7,5,-1)</t>
        </is>
      </c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10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10" t="inlineStr">
        <is>
          <t>Net</t>
        </is>
      </c>
      <c r="T1" s="9" t="inlineStr">
        <is>
          <t>IMP Calculation</t>
        </is>
      </c>
      <c r="X1" s="9" t="inlineStr">
        <is>
          <t>MP Calculation</t>
        </is>
      </c>
    </row>
    <row r="2">
      <c r="A2" s="11" t="inlineStr">
        <is>
          <t>Board</t>
        </is>
      </c>
      <c r="B2" s="11" t="inlineStr">
        <is>
          <t>Round</t>
        </is>
      </c>
      <c r="C2" s="11" t="inlineStr">
        <is>
          <t>Table</t>
        </is>
      </c>
      <c r="D2" s="11" t="inlineStr">
        <is>
          <t>NS</t>
        </is>
      </c>
      <c r="E2" s="11" t="inlineStr">
        <is>
          <t>EW</t>
        </is>
      </c>
      <c r="F2" s="11" t="inlineStr">
        <is>
          <t>Vul</t>
        </is>
      </c>
      <c r="G2" s="11" t="inlineStr">
        <is>
          <t>Contract</t>
        </is>
      </c>
      <c r="H2" s="11" t="inlineStr">
        <is>
          <t>By</t>
        </is>
      </c>
      <c r="I2" s="11" t="inlineStr">
        <is>
          <t>Result</t>
        </is>
      </c>
      <c r="J2" s="11" t="inlineStr">
        <is>
          <t>NS</t>
        </is>
      </c>
      <c r="K2" s="11" t="inlineStr">
        <is>
          <t>EW</t>
        </is>
      </c>
      <c r="L2" s="12" t="inlineStr">
        <is>
          <t>NS</t>
        </is>
      </c>
      <c r="M2" s="11" t="inlineStr">
        <is>
          <t>EW</t>
        </is>
      </c>
      <c r="N2" s="11" t="inlineStr">
        <is>
          <t>NS</t>
        </is>
      </c>
      <c r="O2" s="11" t="inlineStr">
        <is>
          <t>EW</t>
        </is>
      </c>
      <c r="P2" s="11" t="inlineStr">
        <is>
          <t>NS</t>
        </is>
      </c>
      <c r="Q2" s="11" t="inlineStr">
        <is>
          <t>EW</t>
        </is>
      </c>
      <c r="R2" s="12" t="inlineStr">
        <is>
          <t>NS</t>
        </is>
      </c>
      <c r="S2" s="11" t="inlineStr">
        <is>
          <t>EW</t>
        </is>
      </c>
      <c r="T2" s="11" t="inlineStr">
        <is>
          <t>NS Pair-Wise</t>
        </is>
      </c>
      <c r="U2" s="13" t="n"/>
      <c r="V2" s="11" t="inlineStr">
        <is>
          <t>EW Pair-Wise</t>
        </is>
      </c>
      <c r="W2" s="13" t="n"/>
      <c r="X2" s="11" t="inlineStr">
        <is>
          <t>NS MP Score</t>
        </is>
      </c>
      <c r="Y2" s="13" t="n"/>
      <c r="Z2" s="11" t="inlineStr">
        <is>
          <t>EW MP Score</t>
        </is>
      </c>
      <c r="AA2" s="13" t="n"/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4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5">
        <f>IFERROR(AVERAGE(T3:U3),"")</f>
        <v/>
      </c>
      <c r="M3" s="4">
        <f>IFERROR(AVERAGE(V3:W3),"")</f>
        <v/>
      </c>
      <c r="N3" s="5">
        <f>P3/2</f>
        <v/>
      </c>
      <c r="O3" s="5">
        <f>Q3/2</f>
        <v/>
      </c>
      <c r="P3" s="4">
        <f>IFERROR(SUM(X3:Y3),"")</f>
        <v/>
      </c>
      <c r="Q3" s="4">
        <f>IFERROR(SUM(Z3:AA3),"")</f>
        <v/>
      </c>
      <c r="R3" s="16">
        <f>IF(ISNUMBER(J3),J3,IF(ISNUMBER(K3),-K3,""))</f>
        <v/>
      </c>
      <c r="S3">
        <f>IF(ISNUMBER(K3),K3,IF(ISNUMBER(J3),-J3,""))</f>
        <v/>
      </c>
      <c r="T3">
        <f>IF(AND(ISNUMBER(R3),ISNUMBER(R4)),VLOOKUP(ABS(R3-R4),'IMP Table'!$A$2:$C$26,3)*SIGN(R3-R4),"")</f>
        <v/>
      </c>
      <c r="U3">
        <f>IF(AND(ISNUMBER(R3),ISNUMBER(R5)),VLOOKUP(ABS(R3-R5),'IMP Table'!$A$2:$C$26,3)*SIGN(R3-R5),"")</f>
        <v/>
      </c>
      <c r="V3">
        <f>IF(AND(ISNUMBER(S3),ISNUMBER(S4)),VLOOKUP(ABS(S3-S4),'IMP Table'!$A$2:$C$26,3)*SIGN(S3-S4),"")</f>
        <v/>
      </c>
      <c r="W3">
        <f>IF(AND(ISNUMBER(S3),ISNUMBER(S5)),VLOOKUP(ABS(S3-S5),'IMP Table'!$A$2:$C$26,3)*SIGN(S3-S5),"")</f>
        <v/>
      </c>
      <c r="X3">
        <f>IF(AND(ISNUMBER(R3),ISNUMBER(R4)),IF(R3&gt;R4,1,IF(R3=R4,0.5,0)),0.5)</f>
        <v/>
      </c>
      <c r="Y3">
        <f>IF(AND(ISNUMBER(R3),ISNUMBER(R5)),IF(R3&gt;R5,1,IF(R3=R5,0.5,0)),0.5)</f>
        <v/>
      </c>
      <c r="Z3">
        <f>IF(AND(ISNUMBER(S3),ISNUMBER(S4)),IF(S3&gt;S4,1,IF(S3=S4,0.5,0)),0.5)</f>
        <v/>
      </c>
      <c r="AA3">
        <f>IF(AND(ISNUMBER(S3),ISNUMBER(S5)),IF(S3&gt;S5,1,IF(S3=S5,0.5,0)),0.5)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4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5">
        <f>IFERROR(AVERAGE(T4:U4),"")</f>
        <v/>
      </c>
      <c r="M4" s="4">
        <f>IFERROR(AVERAGE(V4:W4),"")</f>
        <v/>
      </c>
      <c r="N4" s="5">
        <f>P4/2</f>
        <v/>
      </c>
      <c r="O4" s="5">
        <f>Q4/2</f>
        <v/>
      </c>
      <c r="P4" s="4">
        <f>IFERROR(SUM(X4:Y4),"")</f>
        <v/>
      </c>
      <c r="Q4" s="4">
        <f>IFERROR(SUM(Z4:AA4),"")</f>
        <v/>
      </c>
      <c r="R4" s="16">
        <f>IF(ISNUMBER(J4),J4,IF(ISNUMBER(K4),-K4,""))</f>
        <v/>
      </c>
      <c r="S4">
        <f>IF(ISNUMBER(K4),K4,IF(ISNUMBER(J4),-J4,""))</f>
        <v/>
      </c>
      <c r="T4">
        <f>IF(AND(ISNUMBER(R4),ISNUMBER(R3)),VLOOKUP(ABS(R4-R3),'IMP Table'!$A$2:$C$26,3)*SIGN(R4-R3),"")</f>
        <v/>
      </c>
      <c r="U4">
        <f>IF(AND(ISNUMBER(R4),ISNUMBER(R5)),VLOOKUP(ABS(R4-R5),'IMP Table'!$A$2:$C$26,3)*SIGN(R4-R5),"")</f>
        <v/>
      </c>
      <c r="V4">
        <f>IF(AND(ISNUMBER(S4),ISNUMBER(S3)),VLOOKUP(ABS(S4-S3),'IMP Table'!$A$2:$C$26,3)*SIGN(S4-S3),"")</f>
        <v/>
      </c>
      <c r="W4">
        <f>IF(AND(ISNUMBER(S4),ISNUMBER(S5)),VLOOKUP(ABS(S4-S5),'IMP Table'!$A$2:$C$26,3)*SIGN(S4-S5),"")</f>
        <v/>
      </c>
      <c r="X4">
        <f>IF(AND(ISNUMBER(R4),ISNUMBER(R3)),IF(R4&gt;R3,1,IF(R4=R3,0.5,0)),0.5)</f>
        <v/>
      </c>
      <c r="Y4">
        <f>IF(AND(ISNUMBER(R4),ISNUMBER(R5)),IF(R4&gt;R5,1,IF(R4=R5,0.5,0)),0.5)</f>
        <v/>
      </c>
      <c r="Z4">
        <f>IF(AND(ISNUMBER(S4),ISNUMBER(S3)),IF(S4&gt;S3,1,IF(S4=S3,0.5,0)),0.5)</f>
        <v/>
      </c>
      <c r="AA4">
        <f>IF(AND(ISNUMBER(S4),ISNUMBER(S5)),IF(S4&gt;S5,1,IF(S4=S5,0.5,0)),0.5)</f>
        <v/>
      </c>
    </row>
    <row r="5">
      <c r="A5" s="13" t="n"/>
      <c r="B5" s="13">
        <f>'By Round'!A30</f>
        <v/>
      </c>
      <c r="C5" s="13">
        <f>'By Round'!B36</f>
        <v/>
      </c>
      <c r="D5" s="13">
        <f>'By Round'!C36</f>
        <v/>
      </c>
      <c r="E5" s="13">
        <f>'By Round'!D36</f>
        <v/>
      </c>
      <c r="F5" s="17" t="inlineStr">
        <is>
          <t>None</t>
        </is>
      </c>
      <c r="G5" s="13">
        <f>IF(ISBLANK('By Round'!G36),"",'By Round'!G36)</f>
        <v/>
      </c>
      <c r="H5" s="13">
        <f>IF(ISBLANK('By Round'!H36),"",'By Round'!H36)</f>
        <v/>
      </c>
      <c r="I5" s="13">
        <f>IF(ISBLANK('By Round'!I36),"",'By Round'!I36)</f>
        <v/>
      </c>
      <c r="J5" s="13">
        <f>IF(ISBLANK('By Round'!J36),"",'By Round'!J36)</f>
        <v/>
      </c>
      <c r="K5" s="13">
        <f>IF(ISBLANK('By Round'!K36),"",'By Round'!K36)</f>
        <v/>
      </c>
      <c r="L5" s="18">
        <f>IFERROR(AVERAGE(T5:U5),"")</f>
        <v/>
      </c>
      <c r="M5" s="19">
        <f>IFERROR(AVERAGE(V5:W5),"")</f>
        <v/>
      </c>
      <c r="N5" s="20">
        <f>P5/2</f>
        <v/>
      </c>
      <c r="O5" s="20">
        <f>Q5/2</f>
        <v/>
      </c>
      <c r="P5" s="19">
        <f>IFERROR(SUM(X5:Y5),"")</f>
        <v/>
      </c>
      <c r="Q5" s="19">
        <f>IFERROR(SUM(Z5:AA5),"")</f>
        <v/>
      </c>
      <c r="R5" s="21">
        <f>IF(ISNUMBER(J5),J5,IF(ISNUMBER(K5),-K5,""))</f>
        <v/>
      </c>
      <c r="S5" s="13">
        <f>IF(ISNUMBER(K5),K5,IF(ISNUMBER(J5),-J5,""))</f>
        <v/>
      </c>
      <c r="T5" s="13">
        <f>IF(AND(ISNUMBER(R5),ISNUMBER(R3)),VLOOKUP(ABS(R5-R3),'IMP Table'!$A$2:$C$26,3)*SIGN(R5-R3),"")</f>
        <v/>
      </c>
      <c r="U5" s="13">
        <f>IF(AND(ISNUMBER(R5),ISNUMBER(R4)),VLOOKUP(ABS(R5-R4),'IMP Table'!$A$2:$C$26,3)*SIGN(R5-R4),"")</f>
        <v/>
      </c>
      <c r="V5" s="13">
        <f>IF(AND(ISNUMBER(S5),ISNUMBER(S3)),VLOOKUP(ABS(S5-S3),'IMP Table'!$A$2:$C$26,3)*SIGN(S5-S3),"")</f>
        <v/>
      </c>
      <c r="W5" s="13">
        <f>IF(AND(ISNUMBER(S5),ISNUMBER(S4)),VLOOKUP(ABS(S5-S4),'IMP Table'!$A$2:$C$26,3)*SIGN(S5-S4),"")</f>
        <v/>
      </c>
      <c r="X5" s="13">
        <f>IF(AND(ISNUMBER(R5),ISNUMBER(R3)),IF(R5&gt;R3,1,IF(R5=R3,0.5,0)),0.5)</f>
        <v/>
      </c>
      <c r="Y5" s="13">
        <f>IF(AND(ISNUMBER(R5),ISNUMBER(R4)),IF(R5&gt;R4,1,IF(R5=R4,0.5,0)),0.5)</f>
        <v/>
      </c>
      <c r="Z5" s="13">
        <f>IF(AND(ISNUMBER(S5),ISNUMBER(S3)),IF(S5&gt;S3,1,IF(S5=S3,0.5,0)),0.5)</f>
        <v/>
      </c>
      <c r="AA5" s="13">
        <f>IF(AND(ISNUMBER(S5),ISNUMBER(S4)),IF(S5&gt;S4,1,IF(S5=S4,0.5,0)),0.5)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4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5">
        <f>IFERROR(AVERAGE(T6:U6),"")</f>
        <v/>
      </c>
      <c r="M6" s="4">
        <f>IFERROR(AVERAGE(V6:W6),"")</f>
        <v/>
      </c>
      <c r="N6" s="5">
        <f>P6/2</f>
        <v/>
      </c>
      <c r="O6" s="5">
        <f>Q6/2</f>
        <v/>
      </c>
      <c r="P6" s="4">
        <f>IFERROR(SUM(X6:Y6),"")</f>
        <v/>
      </c>
      <c r="Q6" s="4">
        <f>IFERROR(SUM(Z6:AA6),"")</f>
        <v/>
      </c>
      <c r="R6" s="16">
        <f>IF(ISNUMBER(J6),J6,IF(ISNUMBER(K6),-K6,""))</f>
        <v/>
      </c>
      <c r="S6">
        <f>IF(ISNUMBER(K6),K6,IF(ISNUMBER(J6),-J6,""))</f>
        <v/>
      </c>
      <c r="T6">
        <f>IF(AND(ISNUMBER(R6),ISNUMBER(R7)),VLOOKUP(ABS(R6-R7),'IMP Table'!$A$2:$C$26,3)*SIGN(R6-R7),"")</f>
        <v/>
      </c>
      <c r="U6">
        <f>IF(AND(ISNUMBER(R6),ISNUMBER(R8)),VLOOKUP(ABS(R6-R8),'IMP Table'!$A$2:$C$26,3)*SIGN(R6-R8),"")</f>
        <v/>
      </c>
      <c r="V6">
        <f>IF(AND(ISNUMBER(S6),ISNUMBER(S7)),VLOOKUP(ABS(S6-S7),'IMP Table'!$A$2:$C$26,3)*SIGN(S6-S7),"")</f>
        <v/>
      </c>
      <c r="W6">
        <f>IF(AND(ISNUMBER(S6),ISNUMBER(S8)),VLOOKUP(ABS(S6-S8),'IMP Table'!$A$2:$C$26,3)*SIGN(S6-S8),"")</f>
        <v/>
      </c>
      <c r="X6">
        <f>IF(AND(ISNUMBER(R6),ISNUMBER(R7)),IF(R6&gt;R7,1,IF(R6=R7,0.5,0)),0.5)</f>
        <v/>
      </c>
      <c r="Y6">
        <f>IF(AND(ISNUMBER(R6),ISNUMBER(R8)),IF(R6&gt;R8,1,IF(R6=R8,0.5,0)),0.5)</f>
        <v/>
      </c>
      <c r="Z6">
        <f>IF(AND(ISNUMBER(S6),ISNUMBER(S7)),IF(S6&gt;S7,1,IF(S6=S7,0.5,0)),0.5)</f>
        <v/>
      </c>
      <c r="AA6">
        <f>IF(AND(ISNUMBER(S6),ISNUMBER(S8)),IF(S6&gt;S8,1,IF(S6=S8,0.5,0)),0.5)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4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5">
        <f>IFERROR(AVERAGE(T7:U7),"")</f>
        <v/>
      </c>
      <c r="M7" s="4">
        <f>IFERROR(AVERAGE(V7:W7),"")</f>
        <v/>
      </c>
      <c r="N7" s="5">
        <f>P7/2</f>
        <v/>
      </c>
      <c r="O7" s="5">
        <f>Q7/2</f>
        <v/>
      </c>
      <c r="P7" s="4">
        <f>IFERROR(SUM(X7:Y7),"")</f>
        <v/>
      </c>
      <c r="Q7" s="4">
        <f>IFERROR(SUM(Z7:AA7),"")</f>
        <v/>
      </c>
      <c r="R7" s="16">
        <f>IF(ISNUMBER(J7),J7,IF(ISNUMBER(K7),-K7,""))</f>
        <v/>
      </c>
      <c r="S7">
        <f>IF(ISNUMBER(K7),K7,IF(ISNUMBER(J7),-J7,""))</f>
        <v/>
      </c>
      <c r="T7">
        <f>IF(AND(ISNUMBER(R7),ISNUMBER(R6)),VLOOKUP(ABS(R7-R6),'IMP Table'!$A$2:$C$26,3)*SIGN(R7-R6),"")</f>
        <v/>
      </c>
      <c r="U7">
        <f>IF(AND(ISNUMBER(R7),ISNUMBER(R8)),VLOOKUP(ABS(R7-R8),'IMP Table'!$A$2:$C$26,3)*SIGN(R7-R8),"")</f>
        <v/>
      </c>
      <c r="V7">
        <f>IF(AND(ISNUMBER(S7),ISNUMBER(S6)),VLOOKUP(ABS(S7-S6),'IMP Table'!$A$2:$C$26,3)*SIGN(S7-S6),"")</f>
        <v/>
      </c>
      <c r="W7">
        <f>IF(AND(ISNUMBER(S7),ISNUMBER(S8)),VLOOKUP(ABS(S7-S8),'IMP Table'!$A$2:$C$26,3)*SIGN(S7-S8),"")</f>
        <v/>
      </c>
      <c r="X7">
        <f>IF(AND(ISNUMBER(R7),ISNUMBER(R6)),IF(R7&gt;R6,1,IF(R7=R6,0.5,0)),0.5)</f>
        <v/>
      </c>
      <c r="Y7">
        <f>IF(AND(ISNUMBER(R7),ISNUMBER(R8)),IF(R7&gt;R8,1,IF(R7=R8,0.5,0)),0.5)</f>
        <v/>
      </c>
      <c r="Z7">
        <f>IF(AND(ISNUMBER(S7),ISNUMBER(S6)),IF(S7&gt;S6,1,IF(S7=S6,0.5,0)),0.5)</f>
        <v/>
      </c>
      <c r="AA7">
        <f>IF(AND(ISNUMBER(S7),ISNUMBER(S8)),IF(S7&gt;S8,1,IF(S7=S8,0.5,0)),0.5)</f>
        <v/>
      </c>
    </row>
    <row r="8">
      <c r="A8" s="13" t="n"/>
      <c r="B8" s="13">
        <f>'By Round'!A30</f>
        <v/>
      </c>
      <c r="C8" s="13">
        <f>'By Round'!B36</f>
        <v/>
      </c>
      <c r="D8" s="13">
        <f>'By Round'!C36</f>
        <v/>
      </c>
      <c r="E8" s="13">
        <f>'By Round'!D36</f>
        <v/>
      </c>
      <c r="F8" s="17" t="inlineStr">
        <is>
          <t>NS</t>
        </is>
      </c>
      <c r="G8" s="13">
        <f>IF(ISBLANK('By Round'!G36),"",'By Round'!G36)</f>
        <v/>
      </c>
      <c r="H8" s="13">
        <f>IF(ISBLANK('By Round'!H36),"",'By Round'!H36)</f>
        <v/>
      </c>
      <c r="I8" s="13">
        <f>IF(ISBLANK('By Round'!I36),"",'By Round'!I36)</f>
        <v/>
      </c>
      <c r="J8" s="13">
        <f>IF(ISBLANK('By Round'!J36),"",'By Round'!J36)</f>
        <v/>
      </c>
      <c r="K8" s="13">
        <f>IF(ISBLANK('By Round'!K36),"",'By Round'!K36)</f>
        <v/>
      </c>
      <c r="L8" s="18">
        <f>IFERROR(AVERAGE(T8:U8),"")</f>
        <v/>
      </c>
      <c r="M8" s="19">
        <f>IFERROR(AVERAGE(V8:W8),"")</f>
        <v/>
      </c>
      <c r="N8" s="20">
        <f>P8/2</f>
        <v/>
      </c>
      <c r="O8" s="20">
        <f>Q8/2</f>
        <v/>
      </c>
      <c r="P8" s="19">
        <f>IFERROR(SUM(X8:Y8),"")</f>
        <v/>
      </c>
      <c r="Q8" s="19">
        <f>IFERROR(SUM(Z8:AA8),"")</f>
        <v/>
      </c>
      <c r="R8" s="21">
        <f>IF(ISNUMBER(J8),J8,IF(ISNUMBER(K8),-K8,""))</f>
        <v/>
      </c>
      <c r="S8" s="13">
        <f>IF(ISNUMBER(K8),K8,IF(ISNUMBER(J8),-J8,""))</f>
        <v/>
      </c>
      <c r="T8" s="13">
        <f>IF(AND(ISNUMBER(R8),ISNUMBER(R6)),VLOOKUP(ABS(R8-R6),'IMP Table'!$A$2:$C$26,3)*SIGN(R8-R6),"")</f>
        <v/>
      </c>
      <c r="U8" s="13">
        <f>IF(AND(ISNUMBER(R8),ISNUMBER(R7)),VLOOKUP(ABS(R8-R7),'IMP Table'!$A$2:$C$26,3)*SIGN(R8-R7),"")</f>
        <v/>
      </c>
      <c r="V8" s="13">
        <f>IF(AND(ISNUMBER(S8),ISNUMBER(S6)),VLOOKUP(ABS(S8-S6),'IMP Table'!$A$2:$C$26,3)*SIGN(S8-S6),"")</f>
        <v/>
      </c>
      <c r="W8" s="13">
        <f>IF(AND(ISNUMBER(S8),ISNUMBER(S7)),VLOOKUP(ABS(S8-S7),'IMP Table'!$A$2:$C$26,3)*SIGN(S8-S7),"")</f>
        <v/>
      </c>
      <c r="X8" s="13">
        <f>IF(AND(ISNUMBER(R8),ISNUMBER(R6)),IF(R8&gt;R6,1,IF(R8=R6,0.5,0)),0.5)</f>
        <v/>
      </c>
      <c r="Y8" s="13">
        <f>IF(AND(ISNUMBER(R8),ISNUMBER(R7)),IF(R8&gt;R7,1,IF(R8=R7,0.5,0)),0.5)</f>
        <v/>
      </c>
      <c r="Z8" s="13">
        <f>IF(AND(ISNUMBER(S8),ISNUMBER(S6)),IF(S8&gt;S6,1,IF(S8=S6,0.5,0)),0.5)</f>
        <v/>
      </c>
      <c r="AA8" s="13">
        <f>IF(AND(ISNUMBER(S8),ISNUMBER(S7)),IF(S8&gt;S7,1,IF(S8=S7,0.5,0)),0.5)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4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5">
        <f>IFERROR(AVERAGE(T9:U9),"")</f>
        <v/>
      </c>
      <c r="M9" s="4">
        <f>IFERROR(AVERAGE(V9:W9),"")</f>
        <v/>
      </c>
      <c r="N9" s="5">
        <f>P9/2</f>
        <v/>
      </c>
      <c r="O9" s="5">
        <f>Q9/2</f>
        <v/>
      </c>
      <c r="P9" s="4">
        <f>IFERROR(SUM(X9:Y9),"")</f>
        <v/>
      </c>
      <c r="Q9" s="4">
        <f>IFERROR(SUM(Z9:AA9),"")</f>
        <v/>
      </c>
      <c r="R9" s="16">
        <f>IF(ISNUMBER(J9),J9,IF(ISNUMBER(K9),-K9,""))</f>
        <v/>
      </c>
      <c r="S9">
        <f>IF(ISNUMBER(K9),K9,IF(ISNUMBER(J9),-J9,""))</f>
        <v/>
      </c>
      <c r="T9">
        <f>IF(AND(ISNUMBER(R9),ISNUMBER(R10)),VLOOKUP(ABS(R9-R10),'IMP Table'!$A$2:$C$26,3)*SIGN(R9-R10),"")</f>
        <v/>
      </c>
      <c r="U9">
        <f>IF(AND(ISNUMBER(R9),ISNUMBER(R11)),VLOOKUP(ABS(R9-R11),'IMP Table'!$A$2:$C$26,3)*SIGN(R9-R11),"")</f>
        <v/>
      </c>
      <c r="V9">
        <f>IF(AND(ISNUMBER(S9),ISNUMBER(S10)),VLOOKUP(ABS(S9-S10),'IMP Table'!$A$2:$C$26,3)*SIGN(S9-S10),"")</f>
        <v/>
      </c>
      <c r="W9">
        <f>IF(AND(ISNUMBER(S9),ISNUMBER(S11)),VLOOKUP(ABS(S9-S11),'IMP Table'!$A$2:$C$26,3)*SIGN(S9-S11),"")</f>
        <v/>
      </c>
      <c r="X9">
        <f>IF(AND(ISNUMBER(R9),ISNUMBER(R10)),IF(R9&gt;R10,1,IF(R9=R10,0.5,0)),0.5)</f>
        <v/>
      </c>
      <c r="Y9">
        <f>IF(AND(ISNUMBER(R9),ISNUMBER(R11)),IF(R9&gt;R11,1,IF(R9=R11,0.5,0)),0.5)</f>
        <v/>
      </c>
      <c r="Z9">
        <f>IF(AND(ISNUMBER(S9),ISNUMBER(S10)),IF(S9&gt;S10,1,IF(S9=S10,0.5,0)),0.5)</f>
        <v/>
      </c>
      <c r="AA9">
        <f>IF(AND(ISNUMBER(S9),ISNUMBER(S11)),IF(S9&gt;S11,1,IF(S9=S11,0.5,0)),0.5)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4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5">
        <f>IFERROR(AVERAGE(T10:U10),"")</f>
        <v/>
      </c>
      <c r="M10" s="4">
        <f>IFERROR(AVERAGE(V10:W10),"")</f>
        <v/>
      </c>
      <c r="N10" s="5">
        <f>P10/2</f>
        <v/>
      </c>
      <c r="O10" s="5">
        <f>Q10/2</f>
        <v/>
      </c>
      <c r="P10" s="4">
        <f>IFERROR(SUM(X10:Y10),"")</f>
        <v/>
      </c>
      <c r="Q10" s="4">
        <f>IFERROR(SUM(Z10:AA10),"")</f>
        <v/>
      </c>
      <c r="R10" s="16">
        <f>IF(ISNUMBER(J10),J10,IF(ISNUMBER(K10),-K10,""))</f>
        <v/>
      </c>
      <c r="S10">
        <f>IF(ISNUMBER(K10),K10,IF(ISNUMBER(J10),-J10,""))</f>
        <v/>
      </c>
      <c r="T10">
        <f>IF(AND(ISNUMBER(R10),ISNUMBER(R9)),VLOOKUP(ABS(R10-R9),'IMP Table'!$A$2:$C$26,3)*SIGN(R10-R9),"")</f>
        <v/>
      </c>
      <c r="U10">
        <f>IF(AND(ISNUMBER(R10),ISNUMBER(R11)),VLOOKUP(ABS(R10-R11),'IMP Table'!$A$2:$C$26,3)*SIGN(R10-R11),"")</f>
        <v/>
      </c>
      <c r="V10">
        <f>IF(AND(ISNUMBER(S10),ISNUMBER(S9)),VLOOKUP(ABS(S10-S9),'IMP Table'!$A$2:$C$26,3)*SIGN(S10-S9),"")</f>
        <v/>
      </c>
      <c r="W10">
        <f>IF(AND(ISNUMBER(S10),ISNUMBER(S11)),VLOOKUP(ABS(S10-S11),'IMP Table'!$A$2:$C$26,3)*SIGN(S10-S11),"")</f>
        <v/>
      </c>
      <c r="X10">
        <f>IF(AND(ISNUMBER(R10),ISNUMBER(R9)),IF(R10&gt;R9,1,IF(R10=R9,0.5,0)),0.5)</f>
        <v/>
      </c>
      <c r="Y10">
        <f>IF(AND(ISNUMBER(R10),ISNUMBER(R11)),IF(R10&gt;R11,1,IF(R10=R11,0.5,0)),0.5)</f>
        <v/>
      </c>
      <c r="Z10">
        <f>IF(AND(ISNUMBER(S10),ISNUMBER(S9)),IF(S10&gt;S9,1,IF(S10=S9,0.5,0)),0.5)</f>
        <v/>
      </c>
      <c r="AA10">
        <f>IF(AND(ISNUMBER(S10),ISNUMBER(S11)),IF(S10&gt;S11,1,IF(S10=S11,0.5,0)),0.5)</f>
        <v/>
      </c>
    </row>
    <row r="11">
      <c r="A11" s="13" t="n"/>
      <c r="B11" s="13">
        <f>'By Round'!A30</f>
        <v/>
      </c>
      <c r="C11" s="13">
        <f>'By Round'!B36</f>
        <v/>
      </c>
      <c r="D11" s="13">
        <f>'By Round'!C36</f>
        <v/>
      </c>
      <c r="E11" s="13">
        <f>'By Round'!D36</f>
        <v/>
      </c>
      <c r="F11" s="17" t="inlineStr">
        <is>
          <t>EW</t>
        </is>
      </c>
      <c r="G11" s="13">
        <f>IF(ISBLANK('By Round'!G36),"",'By Round'!G36)</f>
        <v/>
      </c>
      <c r="H11" s="13">
        <f>IF(ISBLANK('By Round'!H36),"",'By Round'!H36)</f>
        <v/>
      </c>
      <c r="I11" s="13">
        <f>IF(ISBLANK('By Round'!I36),"",'By Round'!I36)</f>
        <v/>
      </c>
      <c r="J11" s="13">
        <f>IF(ISBLANK('By Round'!J36),"",'By Round'!J36)</f>
        <v/>
      </c>
      <c r="K11" s="13">
        <f>IF(ISBLANK('By Round'!K36),"",'By Round'!K36)</f>
        <v/>
      </c>
      <c r="L11" s="18">
        <f>IFERROR(AVERAGE(T11:U11),"")</f>
        <v/>
      </c>
      <c r="M11" s="19">
        <f>IFERROR(AVERAGE(V11:W11),"")</f>
        <v/>
      </c>
      <c r="N11" s="20">
        <f>P11/2</f>
        <v/>
      </c>
      <c r="O11" s="20">
        <f>Q11/2</f>
        <v/>
      </c>
      <c r="P11" s="19">
        <f>IFERROR(SUM(X11:Y11),"")</f>
        <v/>
      </c>
      <c r="Q11" s="19">
        <f>IFERROR(SUM(Z11:AA11),"")</f>
        <v/>
      </c>
      <c r="R11" s="21">
        <f>IF(ISNUMBER(J11),J11,IF(ISNUMBER(K11),-K11,""))</f>
        <v/>
      </c>
      <c r="S11" s="13">
        <f>IF(ISNUMBER(K11),K11,IF(ISNUMBER(J11),-J11,""))</f>
        <v/>
      </c>
      <c r="T11" s="13">
        <f>IF(AND(ISNUMBER(R11),ISNUMBER(R9)),VLOOKUP(ABS(R11-R9),'IMP Table'!$A$2:$C$26,3)*SIGN(R11-R9),"")</f>
        <v/>
      </c>
      <c r="U11" s="13">
        <f>IF(AND(ISNUMBER(R11),ISNUMBER(R10)),VLOOKUP(ABS(R11-R10),'IMP Table'!$A$2:$C$26,3)*SIGN(R11-R10),"")</f>
        <v/>
      </c>
      <c r="V11" s="13">
        <f>IF(AND(ISNUMBER(S11),ISNUMBER(S9)),VLOOKUP(ABS(S11-S9),'IMP Table'!$A$2:$C$26,3)*SIGN(S11-S9),"")</f>
        <v/>
      </c>
      <c r="W11" s="13">
        <f>IF(AND(ISNUMBER(S11),ISNUMBER(S10)),VLOOKUP(ABS(S11-S10),'IMP Table'!$A$2:$C$26,3)*SIGN(S11-S10),"")</f>
        <v/>
      </c>
      <c r="X11" s="13">
        <f>IF(AND(ISNUMBER(R11),ISNUMBER(R9)),IF(R11&gt;R9,1,IF(R11=R9,0.5,0)),0.5)</f>
        <v/>
      </c>
      <c r="Y11" s="13">
        <f>IF(AND(ISNUMBER(R11),ISNUMBER(R10)),IF(R11&gt;R10,1,IF(R11=R10,0.5,0)),0.5)</f>
        <v/>
      </c>
      <c r="Z11" s="13">
        <f>IF(AND(ISNUMBER(S11),ISNUMBER(S9)),IF(S11&gt;S9,1,IF(S11=S9,0.5,0)),0.5)</f>
        <v/>
      </c>
      <c r="AA11" s="13">
        <f>IF(AND(ISNUMBER(S11),ISNUMBER(S10)),IF(S11&gt;S10,1,IF(S11=S10,0.5,0)),0.5)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4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5">
        <f>IFERROR(AVERAGE(T12:U12),"")</f>
        <v/>
      </c>
      <c r="M12" s="4">
        <f>IFERROR(AVERAGE(V12:W12),"")</f>
        <v/>
      </c>
      <c r="N12" s="5">
        <f>P12/2</f>
        <v/>
      </c>
      <c r="O12" s="5">
        <f>Q12/2</f>
        <v/>
      </c>
      <c r="P12" s="4">
        <f>IFERROR(SUM(X12:Y12),"")</f>
        <v/>
      </c>
      <c r="Q12" s="4">
        <f>IFERROR(SUM(Z12:AA12),"")</f>
        <v/>
      </c>
      <c r="R12" s="16">
        <f>IF(ISNUMBER(J12),J12,IF(ISNUMBER(K12),-K12,""))</f>
        <v/>
      </c>
      <c r="S12">
        <f>IF(ISNUMBER(K12),K12,IF(ISNUMBER(J12),-J12,""))</f>
        <v/>
      </c>
      <c r="T12">
        <f>IF(AND(ISNUMBER(R12),ISNUMBER(R13)),VLOOKUP(ABS(R12-R13),'IMP Table'!$A$2:$C$26,3)*SIGN(R12-R13),"")</f>
        <v/>
      </c>
      <c r="U12">
        <f>IF(AND(ISNUMBER(R12),ISNUMBER(R14)),VLOOKUP(ABS(R12-R14),'IMP Table'!$A$2:$C$26,3)*SIGN(R12-R14),"")</f>
        <v/>
      </c>
      <c r="V12">
        <f>IF(AND(ISNUMBER(S12),ISNUMBER(S13)),VLOOKUP(ABS(S12-S13),'IMP Table'!$A$2:$C$26,3)*SIGN(S12-S13),"")</f>
        <v/>
      </c>
      <c r="W12">
        <f>IF(AND(ISNUMBER(S12),ISNUMBER(S14)),VLOOKUP(ABS(S12-S14),'IMP Table'!$A$2:$C$26,3)*SIGN(S12-S14),"")</f>
        <v/>
      </c>
      <c r="X12">
        <f>IF(AND(ISNUMBER(R12),ISNUMBER(R13)),IF(R12&gt;R13,1,IF(R12=R13,0.5,0)),0.5)</f>
        <v/>
      </c>
      <c r="Y12">
        <f>IF(AND(ISNUMBER(R12),ISNUMBER(R14)),IF(R12&gt;R14,1,IF(R12=R14,0.5,0)),0.5)</f>
        <v/>
      </c>
      <c r="Z12">
        <f>IF(AND(ISNUMBER(S12),ISNUMBER(S13)),IF(S12&gt;S13,1,IF(S12=S13,0.5,0)),0.5)</f>
        <v/>
      </c>
      <c r="AA12">
        <f>IF(AND(ISNUMBER(S12),ISNUMBER(S14)),IF(S12&gt;S14,1,IF(S12=S14,0.5,0)),0.5)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4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5">
        <f>IFERROR(AVERAGE(T13:U13),"")</f>
        <v/>
      </c>
      <c r="M13" s="4">
        <f>IFERROR(AVERAGE(V13:W13),"")</f>
        <v/>
      </c>
      <c r="N13" s="5">
        <f>P13/2</f>
        <v/>
      </c>
      <c r="O13" s="5">
        <f>Q13/2</f>
        <v/>
      </c>
      <c r="P13" s="4">
        <f>IFERROR(SUM(X13:Y13),"")</f>
        <v/>
      </c>
      <c r="Q13" s="4">
        <f>IFERROR(SUM(Z13:AA13),"")</f>
        <v/>
      </c>
      <c r="R13" s="16">
        <f>IF(ISNUMBER(J13),J13,IF(ISNUMBER(K13),-K13,""))</f>
        <v/>
      </c>
      <c r="S13">
        <f>IF(ISNUMBER(K13),K13,IF(ISNUMBER(J13),-J13,""))</f>
        <v/>
      </c>
      <c r="T13">
        <f>IF(AND(ISNUMBER(R13),ISNUMBER(R12)),VLOOKUP(ABS(R13-R12),'IMP Table'!$A$2:$C$26,3)*SIGN(R13-R12),"")</f>
        <v/>
      </c>
      <c r="U13">
        <f>IF(AND(ISNUMBER(R13),ISNUMBER(R14)),VLOOKUP(ABS(R13-R14),'IMP Table'!$A$2:$C$26,3)*SIGN(R13-R14),"")</f>
        <v/>
      </c>
      <c r="V13">
        <f>IF(AND(ISNUMBER(S13),ISNUMBER(S12)),VLOOKUP(ABS(S13-S12),'IMP Table'!$A$2:$C$26,3)*SIGN(S13-S12),"")</f>
        <v/>
      </c>
      <c r="W13">
        <f>IF(AND(ISNUMBER(S13),ISNUMBER(S14)),VLOOKUP(ABS(S13-S14),'IMP Table'!$A$2:$C$26,3)*SIGN(S13-S14),"")</f>
        <v/>
      </c>
      <c r="X13">
        <f>IF(AND(ISNUMBER(R13),ISNUMBER(R12)),IF(R13&gt;R12,1,IF(R13=R12,0.5,0)),0.5)</f>
        <v/>
      </c>
      <c r="Y13">
        <f>IF(AND(ISNUMBER(R13),ISNUMBER(R14)),IF(R13&gt;R14,1,IF(R13=R14,0.5,0)),0.5)</f>
        <v/>
      </c>
      <c r="Z13">
        <f>IF(AND(ISNUMBER(S13),ISNUMBER(S12)),IF(S13&gt;S12,1,IF(S13=S12,0.5,0)),0.5)</f>
        <v/>
      </c>
      <c r="AA13">
        <f>IF(AND(ISNUMBER(S13),ISNUMBER(S14)),IF(S13&gt;S14,1,IF(S13=S14,0.5,0)),0.5)</f>
        <v/>
      </c>
    </row>
    <row r="14">
      <c r="A14" s="13" t="n"/>
      <c r="B14" s="13">
        <f>'By Round'!A21</f>
        <v/>
      </c>
      <c r="C14" s="13">
        <f>'By Round'!B24</f>
        <v/>
      </c>
      <c r="D14" s="13">
        <f>'By Round'!C24</f>
        <v/>
      </c>
      <c r="E14" s="13">
        <f>'By Round'!D24</f>
        <v/>
      </c>
      <c r="F14" s="17" t="inlineStr">
        <is>
          <t>Both</t>
        </is>
      </c>
      <c r="G14" s="13">
        <f>IF(ISBLANK('By Round'!G24),"",'By Round'!G24)</f>
        <v/>
      </c>
      <c r="H14" s="13">
        <f>IF(ISBLANK('By Round'!H24),"",'By Round'!H24)</f>
        <v/>
      </c>
      <c r="I14" s="13">
        <f>IF(ISBLANK('By Round'!I24),"",'By Round'!I24)</f>
        <v/>
      </c>
      <c r="J14" s="13">
        <f>IF(ISBLANK('By Round'!J24),"",'By Round'!J24)</f>
        <v/>
      </c>
      <c r="K14" s="13">
        <f>IF(ISBLANK('By Round'!K24),"",'By Round'!K24)</f>
        <v/>
      </c>
      <c r="L14" s="18">
        <f>IFERROR(AVERAGE(T14:U14),"")</f>
        <v/>
      </c>
      <c r="M14" s="19">
        <f>IFERROR(AVERAGE(V14:W14),"")</f>
        <v/>
      </c>
      <c r="N14" s="20">
        <f>P14/2</f>
        <v/>
      </c>
      <c r="O14" s="20">
        <f>Q14/2</f>
        <v/>
      </c>
      <c r="P14" s="19">
        <f>IFERROR(SUM(X14:Y14),"")</f>
        <v/>
      </c>
      <c r="Q14" s="19">
        <f>IFERROR(SUM(Z14:AA14),"")</f>
        <v/>
      </c>
      <c r="R14" s="21">
        <f>IF(ISNUMBER(J14),J14,IF(ISNUMBER(K14),-K14,""))</f>
        <v/>
      </c>
      <c r="S14" s="13">
        <f>IF(ISNUMBER(K14),K14,IF(ISNUMBER(J14),-J14,""))</f>
        <v/>
      </c>
      <c r="T14" s="13">
        <f>IF(AND(ISNUMBER(R14),ISNUMBER(R12)),VLOOKUP(ABS(R14-R12),'IMP Table'!$A$2:$C$26,3)*SIGN(R14-R12),"")</f>
        <v/>
      </c>
      <c r="U14" s="13">
        <f>IF(AND(ISNUMBER(R14),ISNUMBER(R13)),VLOOKUP(ABS(R14-R13),'IMP Table'!$A$2:$C$26,3)*SIGN(R14-R13),"")</f>
        <v/>
      </c>
      <c r="V14" s="13">
        <f>IF(AND(ISNUMBER(S14),ISNUMBER(S12)),VLOOKUP(ABS(S14-S12),'IMP Table'!$A$2:$C$26,3)*SIGN(S14-S12),"")</f>
        <v/>
      </c>
      <c r="W14" s="13">
        <f>IF(AND(ISNUMBER(S14),ISNUMBER(S13)),VLOOKUP(ABS(S14-S13),'IMP Table'!$A$2:$C$26,3)*SIGN(S14-S13),"")</f>
        <v/>
      </c>
      <c r="X14" s="13">
        <f>IF(AND(ISNUMBER(R14),ISNUMBER(R12)),IF(R14&gt;R12,1,IF(R14=R12,0.5,0)),0.5)</f>
        <v/>
      </c>
      <c r="Y14" s="13">
        <f>IF(AND(ISNUMBER(R14),ISNUMBER(R13)),IF(R14&gt;R13,1,IF(R14=R13,0.5,0)),0.5)</f>
        <v/>
      </c>
      <c r="Z14" s="13">
        <f>IF(AND(ISNUMBER(S14),ISNUMBER(S12)),IF(S14&gt;S12,1,IF(S14=S12,0.5,0)),0.5)</f>
        <v/>
      </c>
      <c r="AA14" s="13">
        <f>IF(AND(ISNUMBER(S14),ISNUMBER(S13)),IF(S14&gt;S13,1,IF(S14=S13,0.5,0)),0.5)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4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5">
        <f>IFERROR(AVERAGE(T15:U15),"")</f>
        <v/>
      </c>
      <c r="M15" s="4">
        <f>IFERROR(AVERAGE(V15:W15),"")</f>
        <v/>
      </c>
      <c r="N15" s="5">
        <f>P15/2</f>
        <v/>
      </c>
      <c r="O15" s="5">
        <f>Q15/2</f>
        <v/>
      </c>
      <c r="P15" s="4">
        <f>IFERROR(SUM(X15:Y15),"")</f>
        <v/>
      </c>
      <c r="Q15" s="4">
        <f>IFERROR(SUM(Z15:AA15),"")</f>
        <v/>
      </c>
      <c r="R15" s="16">
        <f>IF(ISNUMBER(J15),J15,IF(ISNUMBER(K15),-K15,""))</f>
        <v/>
      </c>
      <c r="S15">
        <f>IF(ISNUMBER(K15),K15,IF(ISNUMBER(J15),-J15,""))</f>
        <v/>
      </c>
      <c r="T15">
        <f>IF(AND(ISNUMBER(R15),ISNUMBER(R16)),VLOOKUP(ABS(R15-R16),'IMP Table'!$A$2:$C$26,3)*SIGN(R15-R16),"")</f>
        <v/>
      </c>
      <c r="U15">
        <f>IF(AND(ISNUMBER(R15),ISNUMBER(R17)),VLOOKUP(ABS(R15-R17),'IMP Table'!$A$2:$C$26,3)*SIGN(R15-R17),"")</f>
        <v/>
      </c>
      <c r="V15">
        <f>IF(AND(ISNUMBER(S15),ISNUMBER(S16)),VLOOKUP(ABS(S15-S16),'IMP Table'!$A$2:$C$26,3)*SIGN(S15-S16),"")</f>
        <v/>
      </c>
      <c r="W15">
        <f>IF(AND(ISNUMBER(S15),ISNUMBER(S17)),VLOOKUP(ABS(S15-S17),'IMP Table'!$A$2:$C$26,3)*SIGN(S15-S17),"")</f>
        <v/>
      </c>
      <c r="X15">
        <f>IF(AND(ISNUMBER(R15),ISNUMBER(R16)),IF(R15&gt;R16,1,IF(R15=R16,0.5,0)),0.5)</f>
        <v/>
      </c>
      <c r="Y15">
        <f>IF(AND(ISNUMBER(R15),ISNUMBER(R17)),IF(R15&gt;R17,1,IF(R15=R17,0.5,0)),0.5)</f>
        <v/>
      </c>
      <c r="Z15">
        <f>IF(AND(ISNUMBER(S15),ISNUMBER(S16)),IF(S15&gt;S16,1,IF(S15=S16,0.5,0)),0.5)</f>
        <v/>
      </c>
      <c r="AA15">
        <f>IF(AND(ISNUMBER(S15),ISNUMBER(S17)),IF(S15&gt;S17,1,IF(S15=S17,0.5,0)),0.5)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4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5">
        <f>IFERROR(AVERAGE(T16:U16),"")</f>
        <v/>
      </c>
      <c r="M16" s="4">
        <f>IFERROR(AVERAGE(V16:W16),"")</f>
        <v/>
      </c>
      <c r="N16" s="5">
        <f>P16/2</f>
        <v/>
      </c>
      <c r="O16" s="5">
        <f>Q16/2</f>
        <v/>
      </c>
      <c r="P16" s="4">
        <f>IFERROR(SUM(X16:Y16),"")</f>
        <v/>
      </c>
      <c r="Q16" s="4">
        <f>IFERROR(SUM(Z16:AA16),"")</f>
        <v/>
      </c>
      <c r="R16" s="16">
        <f>IF(ISNUMBER(J16),J16,IF(ISNUMBER(K16),-K16,""))</f>
        <v/>
      </c>
      <c r="S16">
        <f>IF(ISNUMBER(K16),K16,IF(ISNUMBER(J16),-J16,""))</f>
        <v/>
      </c>
      <c r="T16">
        <f>IF(AND(ISNUMBER(R16),ISNUMBER(R15)),VLOOKUP(ABS(R16-R15),'IMP Table'!$A$2:$C$26,3)*SIGN(R16-R15),"")</f>
        <v/>
      </c>
      <c r="U16">
        <f>IF(AND(ISNUMBER(R16),ISNUMBER(R17)),VLOOKUP(ABS(R16-R17),'IMP Table'!$A$2:$C$26,3)*SIGN(R16-R17),"")</f>
        <v/>
      </c>
      <c r="V16">
        <f>IF(AND(ISNUMBER(S16),ISNUMBER(S15)),VLOOKUP(ABS(S16-S15),'IMP Table'!$A$2:$C$26,3)*SIGN(S16-S15),"")</f>
        <v/>
      </c>
      <c r="W16">
        <f>IF(AND(ISNUMBER(S16),ISNUMBER(S17)),VLOOKUP(ABS(S16-S17),'IMP Table'!$A$2:$C$26,3)*SIGN(S16-S17),"")</f>
        <v/>
      </c>
      <c r="X16">
        <f>IF(AND(ISNUMBER(R16),ISNUMBER(R15)),IF(R16&gt;R15,1,IF(R16=R15,0.5,0)),0.5)</f>
        <v/>
      </c>
      <c r="Y16">
        <f>IF(AND(ISNUMBER(R16),ISNUMBER(R17)),IF(R16&gt;R17,1,IF(R16=R17,0.5,0)),0.5)</f>
        <v/>
      </c>
      <c r="Z16">
        <f>IF(AND(ISNUMBER(S16),ISNUMBER(S15)),IF(S16&gt;S15,1,IF(S16=S15,0.5,0)),0.5)</f>
        <v/>
      </c>
      <c r="AA16">
        <f>IF(AND(ISNUMBER(S16),ISNUMBER(S17)),IF(S16&gt;S17,1,IF(S16=S17,0.5,0)),0.5)</f>
        <v/>
      </c>
    </row>
    <row r="17">
      <c r="A17" s="13" t="n"/>
      <c r="B17" s="13">
        <f>'By Round'!A21</f>
        <v/>
      </c>
      <c r="C17" s="13">
        <f>'By Round'!B24</f>
        <v/>
      </c>
      <c r="D17" s="13">
        <f>'By Round'!C24</f>
        <v/>
      </c>
      <c r="E17" s="13">
        <f>'By Round'!D24</f>
        <v/>
      </c>
      <c r="F17" s="17" t="inlineStr">
        <is>
          <t>NS</t>
        </is>
      </c>
      <c r="G17" s="13">
        <f>IF(ISBLANK('By Round'!G24),"",'By Round'!G24)</f>
        <v/>
      </c>
      <c r="H17" s="13">
        <f>IF(ISBLANK('By Round'!H24),"",'By Round'!H24)</f>
        <v/>
      </c>
      <c r="I17" s="13">
        <f>IF(ISBLANK('By Round'!I24),"",'By Round'!I24)</f>
        <v/>
      </c>
      <c r="J17" s="13">
        <f>IF(ISBLANK('By Round'!J24),"",'By Round'!J24)</f>
        <v/>
      </c>
      <c r="K17" s="13">
        <f>IF(ISBLANK('By Round'!K24),"",'By Round'!K24)</f>
        <v/>
      </c>
      <c r="L17" s="18">
        <f>IFERROR(AVERAGE(T17:U17),"")</f>
        <v/>
      </c>
      <c r="M17" s="19">
        <f>IFERROR(AVERAGE(V17:W17),"")</f>
        <v/>
      </c>
      <c r="N17" s="20">
        <f>P17/2</f>
        <v/>
      </c>
      <c r="O17" s="20">
        <f>Q17/2</f>
        <v/>
      </c>
      <c r="P17" s="19">
        <f>IFERROR(SUM(X17:Y17),"")</f>
        <v/>
      </c>
      <c r="Q17" s="19">
        <f>IFERROR(SUM(Z17:AA17),"")</f>
        <v/>
      </c>
      <c r="R17" s="21">
        <f>IF(ISNUMBER(J17),J17,IF(ISNUMBER(K17),-K17,""))</f>
        <v/>
      </c>
      <c r="S17" s="13">
        <f>IF(ISNUMBER(K17),K17,IF(ISNUMBER(J17),-J17,""))</f>
        <v/>
      </c>
      <c r="T17" s="13">
        <f>IF(AND(ISNUMBER(R17),ISNUMBER(R15)),VLOOKUP(ABS(R17-R15),'IMP Table'!$A$2:$C$26,3)*SIGN(R17-R15),"")</f>
        <v/>
      </c>
      <c r="U17" s="13">
        <f>IF(AND(ISNUMBER(R17),ISNUMBER(R16)),VLOOKUP(ABS(R17-R16),'IMP Table'!$A$2:$C$26,3)*SIGN(R17-R16),"")</f>
        <v/>
      </c>
      <c r="V17" s="13">
        <f>IF(AND(ISNUMBER(S17),ISNUMBER(S15)),VLOOKUP(ABS(S17-S15),'IMP Table'!$A$2:$C$26,3)*SIGN(S17-S15),"")</f>
        <v/>
      </c>
      <c r="W17" s="13">
        <f>IF(AND(ISNUMBER(S17),ISNUMBER(S16)),VLOOKUP(ABS(S17-S16),'IMP Table'!$A$2:$C$26,3)*SIGN(S17-S16),"")</f>
        <v/>
      </c>
      <c r="X17" s="13">
        <f>IF(AND(ISNUMBER(R17),ISNUMBER(R15)),IF(R17&gt;R15,1,IF(R17=R15,0.5,0)),0.5)</f>
        <v/>
      </c>
      <c r="Y17" s="13">
        <f>IF(AND(ISNUMBER(R17),ISNUMBER(R16)),IF(R17&gt;R16,1,IF(R17=R16,0.5,0)),0.5)</f>
        <v/>
      </c>
      <c r="Z17" s="13">
        <f>IF(AND(ISNUMBER(S17),ISNUMBER(S15)),IF(S17&gt;S15,1,IF(S17=S15,0.5,0)),0.5)</f>
        <v/>
      </c>
      <c r="AA17" s="13">
        <f>IF(AND(ISNUMBER(S17),ISNUMBER(S16)),IF(S17&gt;S16,1,IF(S17=S16,0.5,0)),0.5)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4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5">
        <f>IFERROR(AVERAGE(T18:U18),"")</f>
        <v/>
      </c>
      <c r="M18" s="4">
        <f>IFERROR(AVERAGE(V18:W18),"")</f>
        <v/>
      </c>
      <c r="N18" s="5">
        <f>P18/2</f>
        <v/>
      </c>
      <c r="O18" s="5">
        <f>Q18/2</f>
        <v/>
      </c>
      <c r="P18" s="4">
        <f>IFERROR(SUM(X18:Y18),"")</f>
        <v/>
      </c>
      <c r="Q18" s="4">
        <f>IFERROR(SUM(Z18:AA18),"")</f>
        <v/>
      </c>
      <c r="R18" s="16">
        <f>IF(ISNUMBER(J18),J18,IF(ISNUMBER(K18),-K18,""))</f>
        <v/>
      </c>
      <c r="S18">
        <f>IF(ISNUMBER(K18),K18,IF(ISNUMBER(J18),-J18,""))</f>
        <v/>
      </c>
      <c r="T18">
        <f>IF(AND(ISNUMBER(R18),ISNUMBER(R19)),VLOOKUP(ABS(R18-R19),'IMP Table'!$A$2:$C$26,3)*SIGN(R18-R19),"")</f>
        <v/>
      </c>
      <c r="U18">
        <f>IF(AND(ISNUMBER(R18),ISNUMBER(R20)),VLOOKUP(ABS(R18-R20),'IMP Table'!$A$2:$C$26,3)*SIGN(R18-R20),"")</f>
        <v/>
      </c>
      <c r="V18">
        <f>IF(AND(ISNUMBER(S18),ISNUMBER(S19)),VLOOKUP(ABS(S18-S19),'IMP Table'!$A$2:$C$26,3)*SIGN(S18-S19),"")</f>
        <v/>
      </c>
      <c r="W18">
        <f>IF(AND(ISNUMBER(S18),ISNUMBER(S20)),VLOOKUP(ABS(S18-S20),'IMP Table'!$A$2:$C$26,3)*SIGN(S18-S20),"")</f>
        <v/>
      </c>
      <c r="X18">
        <f>IF(AND(ISNUMBER(R18),ISNUMBER(R19)),IF(R18&gt;R19,1,IF(R18=R19,0.5,0)),0.5)</f>
        <v/>
      </c>
      <c r="Y18">
        <f>IF(AND(ISNUMBER(R18),ISNUMBER(R20)),IF(R18&gt;R20,1,IF(R18=R20,0.5,0)),0.5)</f>
        <v/>
      </c>
      <c r="Z18">
        <f>IF(AND(ISNUMBER(S18),ISNUMBER(S19)),IF(S18&gt;S19,1,IF(S18=S19,0.5,0)),0.5)</f>
        <v/>
      </c>
      <c r="AA18">
        <f>IF(AND(ISNUMBER(S18),ISNUMBER(S20)),IF(S18&gt;S20,1,IF(S18=S20,0.5,0)),0.5)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4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5">
        <f>IFERROR(AVERAGE(T19:U19),"")</f>
        <v/>
      </c>
      <c r="M19" s="4">
        <f>IFERROR(AVERAGE(V19:W19),"")</f>
        <v/>
      </c>
      <c r="N19" s="5">
        <f>P19/2</f>
        <v/>
      </c>
      <c r="O19" s="5">
        <f>Q19/2</f>
        <v/>
      </c>
      <c r="P19" s="4">
        <f>IFERROR(SUM(X19:Y19),"")</f>
        <v/>
      </c>
      <c r="Q19" s="4">
        <f>IFERROR(SUM(Z19:AA19),"")</f>
        <v/>
      </c>
      <c r="R19" s="16">
        <f>IF(ISNUMBER(J19),J19,IF(ISNUMBER(K19),-K19,""))</f>
        <v/>
      </c>
      <c r="S19">
        <f>IF(ISNUMBER(K19),K19,IF(ISNUMBER(J19),-J19,""))</f>
        <v/>
      </c>
      <c r="T19">
        <f>IF(AND(ISNUMBER(R19),ISNUMBER(R18)),VLOOKUP(ABS(R19-R18),'IMP Table'!$A$2:$C$26,3)*SIGN(R19-R18),"")</f>
        <v/>
      </c>
      <c r="U19">
        <f>IF(AND(ISNUMBER(R19),ISNUMBER(R20)),VLOOKUP(ABS(R19-R20),'IMP Table'!$A$2:$C$26,3)*SIGN(R19-R20),"")</f>
        <v/>
      </c>
      <c r="V19">
        <f>IF(AND(ISNUMBER(S19),ISNUMBER(S18)),VLOOKUP(ABS(S19-S18),'IMP Table'!$A$2:$C$26,3)*SIGN(S19-S18),"")</f>
        <v/>
      </c>
      <c r="W19">
        <f>IF(AND(ISNUMBER(S19),ISNUMBER(S20)),VLOOKUP(ABS(S19-S20),'IMP Table'!$A$2:$C$26,3)*SIGN(S19-S20),"")</f>
        <v/>
      </c>
      <c r="X19">
        <f>IF(AND(ISNUMBER(R19),ISNUMBER(R18)),IF(R19&gt;R18,1,IF(R19=R18,0.5,0)),0.5)</f>
        <v/>
      </c>
      <c r="Y19">
        <f>IF(AND(ISNUMBER(R19),ISNUMBER(R20)),IF(R19&gt;R20,1,IF(R19=R20,0.5,0)),0.5)</f>
        <v/>
      </c>
      <c r="Z19">
        <f>IF(AND(ISNUMBER(S19),ISNUMBER(S18)),IF(S19&gt;S18,1,IF(S19=S18,0.5,0)),0.5)</f>
        <v/>
      </c>
      <c r="AA19">
        <f>IF(AND(ISNUMBER(S19),ISNUMBER(S20)),IF(S19&gt;S20,1,IF(S19=S20,0.5,0)),0.5)</f>
        <v/>
      </c>
    </row>
    <row r="20">
      <c r="A20" s="13" t="n"/>
      <c r="B20" s="13">
        <f>'By Round'!A21</f>
        <v/>
      </c>
      <c r="C20" s="13">
        <f>'By Round'!B24</f>
        <v/>
      </c>
      <c r="D20" s="13">
        <f>'By Round'!C24</f>
        <v/>
      </c>
      <c r="E20" s="13">
        <f>'By Round'!D24</f>
        <v/>
      </c>
      <c r="F20" s="17" t="inlineStr">
        <is>
          <t>EW</t>
        </is>
      </c>
      <c r="G20" s="13">
        <f>IF(ISBLANK('By Round'!G24),"",'By Round'!G24)</f>
        <v/>
      </c>
      <c r="H20" s="13">
        <f>IF(ISBLANK('By Round'!H24),"",'By Round'!H24)</f>
        <v/>
      </c>
      <c r="I20" s="13">
        <f>IF(ISBLANK('By Round'!I24),"",'By Round'!I24)</f>
        <v/>
      </c>
      <c r="J20" s="13">
        <f>IF(ISBLANK('By Round'!J24),"",'By Round'!J24)</f>
        <v/>
      </c>
      <c r="K20" s="13">
        <f>IF(ISBLANK('By Round'!K24),"",'By Round'!K24)</f>
        <v/>
      </c>
      <c r="L20" s="18">
        <f>IFERROR(AVERAGE(T20:U20),"")</f>
        <v/>
      </c>
      <c r="M20" s="19">
        <f>IFERROR(AVERAGE(V20:W20),"")</f>
        <v/>
      </c>
      <c r="N20" s="20">
        <f>P20/2</f>
        <v/>
      </c>
      <c r="O20" s="20">
        <f>Q20/2</f>
        <v/>
      </c>
      <c r="P20" s="19">
        <f>IFERROR(SUM(X20:Y20),"")</f>
        <v/>
      </c>
      <c r="Q20" s="19">
        <f>IFERROR(SUM(Z20:AA20),"")</f>
        <v/>
      </c>
      <c r="R20" s="21">
        <f>IF(ISNUMBER(J20),J20,IF(ISNUMBER(K20),-K20,""))</f>
        <v/>
      </c>
      <c r="S20" s="13">
        <f>IF(ISNUMBER(K20),K20,IF(ISNUMBER(J20),-J20,""))</f>
        <v/>
      </c>
      <c r="T20" s="13">
        <f>IF(AND(ISNUMBER(R20),ISNUMBER(R18)),VLOOKUP(ABS(R20-R18),'IMP Table'!$A$2:$C$26,3)*SIGN(R20-R18),"")</f>
        <v/>
      </c>
      <c r="U20" s="13">
        <f>IF(AND(ISNUMBER(R20),ISNUMBER(R19)),VLOOKUP(ABS(R20-R19),'IMP Table'!$A$2:$C$26,3)*SIGN(R20-R19),"")</f>
        <v/>
      </c>
      <c r="V20" s="13">
        <f>IF(AND(ISNUMBER(S20),ISNUMBER(S18)),VLOOKUP(ABS(S20-S18),'IMP Table'!$A$2:$C$26,3)*SIGN(S20-S18),"")</f>
        <v/>
      </c>
      <c r="W20" s="13">
        <f>IF(AND(ISNUMBER(S20),ISNUMBER(S19)),VLOOKUP(ABS(S20-S19),'IMP Table'!$A$2:$C$26,3)*SIGN(S20-S19),"")</f>
        <v/>
      </c>
      <c r="X20" s="13">
        <f>IF(AND(ISNUMBER(R20),ISNUMBER(R18)),IF(R20&gt;R18,1,IF(R20=R18,0.5,0)),0.5)</f>
        <v/>
      </c>
      <c r="Y20" s="13">
        <f>IF(AND(ISNUMBER(R20),ISNUMBER(R19)),IF(R20&gt;R19,1,IF(R20=R19,0.5,0)),0.5)</f>
        <v/>
      </c>
      <c r="Z20" s="13">
        <f>IF(AND(ISNUMBER(S20),ISNUMBER(S18)),IF(S20&gt;S18,1,IF(S20=S18,0.5,0)),0.5)</f>
        <v/>
      </c>
      <c r="AA20" s="13">
        <f>IF(AND(ISNUMBER(S20),ISNUMBER(S19)),IF(S20&gt;S19,1,IF(S20=S19,0.5,0)),0.5)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4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5">
        <f>IFERROR(AVERAGE(T21:U21),"")</f>
        <v/>
      </c>
      <c r="M21" s="4">
        <f>IFERROR(AVERAGE(V21:W21),"")</f>
        <v/>
      </c>
      <c r="N21" s="5">
        <f>P21/2</f>
        <v/>
      </c>
      <c r="O21" s="5">
        <f>Q21/2</f>
        <v/>
      </c>
      <c r="P21" s="4">
        <f>IFERROR(SUM(X21:Y21),"")</f>
        <v/>
      </c>
      <c r="Q21" s="4">
        <f>IFERROR(SUM(Z21:AA21),"")</f>
        <v/>
      </c>
      <c r="R21" s="16">
        <f>IF(ISNUMBER(J21),J21,IF(ISNUMBER(K21),-K21,""))</f>
        <v/>
      </c>
      <c r="S21">
        <f>IF(ISNUMBER(K21),K21,IF(ISNUMBER(J21),-J21,""))</f>
        <v/>
      </c>
      <c r="T21">
        <f>IF(AND(ISNUMBER(R21),ISNUMBER(R22)),VLOOKUP(ABS(R21-R22),'IMP Table'!$A$2:$C$26,3)*SIGN(R21-R22),"")</f>
        <v/>
      </c>
      <c r="U21">
        <f>IF(AND(ISNUMBER(R21),ISNUMBER(R23)),VLOOKUP(ABS(R21-R23),'IMP Table'!$A$2:$C$26,3)*SIGN(R21-R23),"")</f>
        <v/>
      </c>
      <c r="V21">
        <f>IF(AND(ISNUMBER(S21),ISNUMBER(S22)),VLOOKUP(ABS(S21-S22),'IMP Table'!$A$2:$C$26,3)*SIGN(S21-S22),"")</f>
        <v/>
      </c>
      <c r="W21">
        <f>IF(AND(ISNUMBER(S21),ISNUMBER(S23)),VLOOKUP(ABS(S21-S23),'IMP Table'!$A$2:$C$26,3)*SIGN(S21-S23),"")</f>
        <v/>
      </c>
      <c r="X21">
        <f>IF(AND(ISNUMBER(R21),ISNUMBER(R22)),IF(R21&gt;R22,1,IF(R21=R22,0.5,0)),0.5)</f>
        <v/>
      </c>
      <c r="Y21">
        <f>IF(AND(ISNUMBER(R21),ISNUMBER(R23)),IF(R21&gt;R23,1,IF(R21=R23,0.5,0)),0.5)</f>
        <v/>
      </c>
      <c r="Z21">
        <f>IF(AND(ISNUMBER(S21),ISNUMBER(S22)),IF(S21&gt;S22,1,IF(S21=S22,0.5,0)),0.5)</f>
        <v/>
      </c>
      <c r="AA21">
        <f>IF(AND(ISNUMBER(S21),ISNUMBER(S23)),IF(S21&gt;S23,1,IF(S21=S23,0.5,0)),0.5)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4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5">
        <f>IFERROR(AVERAGE(T22:U22),"")</f>
        <v/>
      </c>
      <c r="M22" s="4">
        <f>IFERROR(AVERAGE(V22:W22),"")</f>
        <v/>
      </c>
      <c r="N22" s="5">
        <f>P22/2</f>
        <v/>
      </c>
      <c r="O22" s="5">
        <f>Q22/2</f>
        <v/>
      </c>
      <c r="P22" s="4">
        <f>IFERROR(SUM(X22:Y22),"")</f>
        <v/>
      </c>
      <c r="Q22" s="4">
        <f>IFERROR(SUM(Z22:AA22),"")</f>
        <v/>
      </c>
      <c r="R22" s="16">
        <f>IF(ISNUMBER(J22),J22,IF(ISNUMBER(K22),-K22,""))</f>
        <v/>
      </c>
      <c r="S22">
        <f>IF(ISNUMBER(K22),K22,IF(ISNUMBER(J22),-J22,""))</f>
        <v/>
      </c>
      <c r="T22">
        <f>IF(AND(ISNUMBER(R22),ISNUMBER(R21)),VLOOKUP(ABS(R22-R21),'IMP Table'!$A$2:$C$26,3)*SIGN(R22-R21),"")</f>
        <v/>
      </c>
      <c r="U22">
        <f>IF(AND(ISNUMBER(R22),ISNUMBER(R23)),VLOOKUP(ABS(R22-R23),'IMP Table'!$A$2:$C$26,3)*SIGN(R22-R23),"")</f>
        <v/>
      </c>
      <c r="V22">
        <f>IF(AND(ISNUMBER(S22),ISNUMBER(S21)),VLOOKUP(ABS(S22-S21),'IMP Table'!$A$2:$C$26,3)*SIGN(S22-S21),"")</f>
        <v/>
      </c>
      <c r="W22">
        <f>IF(AND(ISNUMBER(S22),ISNUMBER(S23)),VLOOKUP(ABS(S22-S23),'IMP Table'!$A$2:$C$26,3)*SIGN(S22-S23),"")</f>
        <v/>
      </c>
      <c r="X22">
        <f>IF(AND(ISNUMBER(R22),ISNUMBER(R21)),IF(R22&gt;R21,1,IF(R22=R21,0.5,0)),0.5)</f>
        <v/>
      </c>
      <c r="Y22">
        <f>IF(AND(ISNUMBER(R22),ISNUMBER(R23)),IF(R22&gt;R23,1,IF(R22=R23,0.5,0)),0.5)</f>
        <v/>
      </c>
      <c r="Z22">
        <f>IF(AND(ISNUMBER(S22),ISNUMBER(S21)),IF(S22&gt;S21,1,IF(S22=S21,0.5,0)),0.5)</f>
        <v/>
      </c>
      <c r="AA22">
        <f>IF(AND(ISNUMBER(S22),ISNUMBER(S23)),IF(S22&gt;S23,1,IF(S22=S23,0.5,0)),0.5)</f>
        <v/>
      </c>
    </row>
    <row r="23">
      <c r="A23" s="13" t="n"/>
      <c r="B23" s="13">
        <f>'By Round'!A30</f>
        <v/>
      </c>
      <c r="C23" s="13">
        <f>'By Round'!B33</f>
        <v/>
      </c>
      <c r="D23" s="13">
        <f>'By Round'!C33</f>
        <v/>
      </c>
      <c r="E23" s="13">
        <f>'By Round'!D33</f>
        <v/>
      </c>
      <c r="F23" s="17" t="inlineStr">
        <is>
          <t>Both</t>
        </is>
      </c>
      <c r="G23" s="13">
        <f>IF(ISBLANK('By Round'!G33),"",'By Round'!G33)</f>
        <v/>
      </c>
      <c r="H23" s="13">
        <f>IF(ISBLANK('By Round'!H33),"",'By Round'!H33)</f>
        <v/>
      </c>
      <c r="I23" s="13">
        <f>IF(ISBLANK('By Round'!I33),"",'By Round'!I33)</f>
        <v/>
      </c>
      <c r="J23" s="13">
        <f>IF(ISBLANK('By Round'!J33),"",'By Round'!J33)</f>
        <v/>
      </c>
      <c r="K23" s="13">
        <f>IF(ISBLANK('By Round'!K33),"",'By Round'!K33)</f>
        <v/>
      </c>
      <c r="L23" s="18">
        <f>IFERROR(AVERAGE(T23:U23),"")</f>
        <v/>
      </c>
      <c r="M23" s="19">
        <f>IFERROR(AVERAGE(V23:W23),"")</f>
        <v/>
      </c>
      <c r="N23" s="20">
        <f>P23/2</f>
        <v/>
      </c>
      <c r="O23" s="20">
        <f>Q23/2</f>
        <v/>
      </c>
      <c r="P23" s="19">
        <f>IFERROR(SUM(X23:Y23),"")</f>
        <v/>
      </c>
      <c r="Q23" s="19">
        <f>IFERROR(SUM(Z23:AA23),"")</f>
        <v/>
      </c>
      <c r="R23" s="21">
        <f>IF(ISNUMBER(J23),J23,IF(ISNUMBER(K23),-K23,""))</f>
        <v/>
      </c>
      <c r="S23" s="13">
        <f>IF(ISNUMBER(K23),K23,IF(ISNUMBER(J23),-J23,""))</f>
        <v/>
      </c>
      <c r="T23" s="13">
        <f>IF(AND(ISNUMBER(R23),ISNUMBER(R21)),VLOOKUP(ABS(R23-R21),'IMP Table'!$A$2:$C$26,3)*SIGN(R23-R21),"")</f>
        <v/>
      </c>
      <c r="U23" s="13">
        <f>IF(AND(ISNUMBER(R23),ISNUMBER(R22)),VLOOKUP(ABS(R23-R22),'IMP Table'!$A$2:$C$26,3)*SIGN(R23-R22),"")</f>
        <v/>
      </c>
      <c r="V23" s="13">
        <f>IF(AND(ISNUMBER(S23),ISNUMBER(S21)),VLOOKUP(ABS(S23-S21),'IMP Table'!$A$2:$C$26,3)*SIGN(S23-S21),"")</f>
        <v/>
      </c>
      <c r="W23" s="13">
        <f>IF(AND(ISNUMBER(S23),ISNUMBER(S22)),VLOOKUP(ABS(S23-S22),'IMP Table'!$A$2:$C$26,3)*SIGN(S23-S22),"")</f>
        <v/>
      </c>
      <c r="X23" s="13">
        <f>IF(AND(ISNUMBER(R23),ISNUMBER(R21)),IF(R23&gt;R21,1,IF(R23=R21,0.5,0)),0.5)</f>
        <v/>
      </c>
      <c r="Y23" s="13">
        <f>IF(AND(ISNUMBER(R23),ISNUMBER(R22)),IF(R23&gt;R22,1,IF(R23=R22,0.5,0)),0.5)</f>
        <v/>
      </c>
      <c r="Z23" s="13">
        <f>IF(AND(ISNUMBER(S23),ISNUMBER(S21)),IF(S23&gt;S21,1,IF(S23=S21,0.5,0)),0.5)</f>
        <v/>
      </c>
      <c r="AA23" s="13">
        <f>IF(AND(ISNUMBER(S23),ISNUMBER(S22)),IF(S23&gt;S22,1,IF(S23=S22,0.5,0)),0.5)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4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5">
        <f>IFERROR(AVERAGE(T24:U24),"")</f>
        <v/>
      </c>
      <c r="M24" s="4">
        <f>IFERROR(AVERAGE(V24:W24),"")</f>
        <v/>
      </c>
      <c r="N24" s="5">
        <f>P24/2</f>
        <v/>
      </c>
      <c r="O24" s="5">
        <f>Q24/2</f>
        <v/>
      </c>
      <c r="P24" s="4">
        <f>IFERROR(SUM(X24:Y24),"")</f>
        <v/>
      </c>
      <c r="Q24" s="4">
        <f>IFERROR(SUM(Z24:AA24),"")</f>
        <v/>
      </c>
      <c r="R24" s="16">
        <f>IF(ISNUMBER(J24),J24,IF(ISNUMBER(K24),-K24,""))</f>
        <v/>
      </c>
      <c r="S24">
        <f>IF(ISNUMBER(K24),K24,IF(ISNUMBER(J24),-J24,""))</f>
        <v/>
      </c>
      <c r="T24">
        <f>IF(AND(ISNUMBER(R24),ISNUMBER(R25)),VLOOKUP(ABS(R24-R25),'IMP Table'!$A$2:$C$26,3)*SIGN(R24-R25),"")</f>
        <v/>
      </c>
      <c r="U24">
        <f>IF(AND(ISNUMBER(R24),ISNUMBER(R26)),VLOOKUP(ABS(R24-R26),'IMP Table'!$A$2:$C$26,3)*SIGN(R24-R26),"")</f>
        <v/>
      </c>
      <c r="V24">
        <f>IF(AND(ISNUMBER(S24),ISNUMBER(S25)),VLOOKUP(ABS(S24-S25),'IMP Table'!$A$2:$C$26,3)*SIGN(S24-S25),"")</f>
        <v/>
      </c>
      <c r="W24">
        <f>IF(AND(ISNUMBER(S24),ISNUMBER(S26)),VLOOKUP(ABS(S24-S26),'IMP Table'!$A$2:$C$26,3)*SIGN(S24-S26),"")</f>
        <v/>
      </c>
      <c r="X24">
        <f>IF(AND(ISNUMBER(R24),ISNUMBER(R25)),IF(R24&gt;R25,1,IF(R24=R25,0.5,0)),0.5)</f>
        <v/>
      </c>
      <c r="Y24">
        <f>IF(AND(ISNUMBER(R24),ISNUMBER(R26)),IF(R24&gt;R26,1,IF(R24=R26,0.5,0)),0.5)</f>
        <v/>
      </c>
      <c r="Z24">
        <f>IF(AND(ISNUMBER(S24),ISNUMBER(S25)),IF(S24&gt;S25,1,IF(S24=S25,0.5,0)),0.5)</f>
        <v/>
      </c>
      <c r="AA24">
        <f>IF(AND(ISNUMBER(S24),ISNUMBER(S26)),IF(S24&gt;S26,1,IF(S24=S26,0.5,0)),0.5)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4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5">
        <f>IFERROR(AVERAGE(T25:U25),"")</f>
        <v/>
      </c>
      <c r="M25" s="4">
        <f>IFERROR(AVERAGE(V25:W25),"")</f>
        <v/>
      </c>
      <c r="N25" s="5">
        <f>P25/2</f>
        <v/>
      </c>
      <c r="O25" s="5">
        <f>Q25/2</f>
        <v/>
      </c>
      <c r="P25" s="4">
        <f>IFERROR(SUM(X25:Y25),"")</f>
        <v/>
      </c>
      <c r="Q25" s="4">
        <f>IFERROR(SUM(Z25:AA25),"")</f>
        <v/>
      </c>
      <c r="R25" s="16">
        <f>IF(ISNUMBER(J25),J25,IF(ISNUMBER(K25),-K25,""))</f>
        <v/>
      </c>
      <c r="S25">
        <f>IF(ISNUMBER(K25),K25,IF(ISNUMBER(J25),-J25,""))</f>
        <v/>
      </c>
      <c r="T25">
        <f>IF(AND(ISNUMBER(R25),ISNUMBER(R24)),VLOOKUP(ABS(R25-R24),'IMP Table'!$A$2:$C$26,3)*SIGN(R25-R24),"")</f>
        <v/>
      </c>
      <c r="U25">
        <f>IF(AND(ISNUMBER(R25),ISNUMBER(R26)),VLOOKUP(ABS(R25-R26),'IMP Table'!$A$2:$C$26,3)*SIGN(R25-R26),"")</f>
        <v/>
      </c>
      <c r="V25">
        <f>IF(AND(ISNUMBER(S25),ISNUMBER(S24)),VLOOKUP(ABS(S25-S24),'IMP Table'!$A$2:$C$26,3)*SIGN(S25-S24),"")</f>
        <v/>
      </c>
      <c r="W25">
        <f>IF(AND(ISNUMBER(S25),ISNUMBER(S26)),VLOOKUP(ABS(S25-S26),'IMP Table'!$A$2:$C$26,3)*SIGN(S25-S26),"")</f>
        <v/>
      </c>
      <c r="X25">
        <f>IF(AND(ISNUMBER(R25),ISNUMBER(R24)),IF(R25&gt;R24,1,IF(R25=R24,0.5,0)),0.5)</f>
        <v/>
      </c>
      <c r="Y25">
        <f>IF(AND(ISNUMBER(R25),ISNUMBER(R26)),IF(R25&gt;R26,1,IF(R25=R26,0.5,0)),0.5)</f>
        <v/>
      </c>
      <c r="Z25">
        <f>IF(AND(ISNUMBER(S25),ISNUMBER(S24)),IF(S25&gt;S24,1,IF(S25=S24,0.5,0)),0.5)</f>
        <v/>
      </c>
      <c r="AA25">
        <f>IF(AND(ISNUMBER(S25),ISNUMBER(S26)),IF(S25&gt;S26,1,IF(S25=S26,0.5,0)),0.5)</f>
        <v/>
      </c>
    </row>
    <row r="26">
      <c r="A26" s="13" t="n"/>
      <c r="B26" s="13">
        <f>'By Round'!A30</f>
        <v/>
      </c>
      <c r="C26" s="13">
        <f>'By Round'!B33</f>
        <v/>
      </c>
      <c r="D26" s="13">
        <f>'By Round'!C33</f>
        <v/>
      </c>
      <c r="E26" s="13">
        <f>'By Round'!D33</f>
        <v/>
      </c>
      <c r="F26" s="17" t="inlineStr">
        <is>
          <t>None</t>
        </is>
      </c>
      <c r="G26" s="13">
        <f>IF(ISBLANK('By Round'!G33),"",'By Round'!G33)</f>
        <v/>
      </c>
      <c r="H26" s="13">
        <f>IF(ISBLANK('By Round'!H33),"",'By Round'!H33)</f>
        <v/>
      </c>
      <c r="I26" s="13">
        <f>IF(ISBLANK('By Round'!I33),"",'By Round'!I33)</f>
        <v/>
      </c>
      <c r="J26" s="13">
        <f>IF(ISBLANK('By Round'!J33),"",'By Round'!J33)</f>
        <v/>
      </c>
      <c r="K26" s="13">
        <f>IF(ISBLANK('By Round'!K33),"",'By Round'!K33)</f>
        <v/>
      </c>
      <c r="L26" s="18">
        <f>IFERROR(AVERAGE(T26:U26),"")</f>
        <v/>
      </c>
      <c r="M26" s="19">
        <f>IFERROR(AVERAGE(V26:W26),"")</f>
        <v/>
      </c>
      <c r="N26" s="20">
        <f>P26/2</f>
        <v/>
      </c>
      <c r="O26" s="20">
        <f>Q26/2</f>
        <v/>
      </c>
      <c r="P26" s="19">
        <f>IFERROR(SUM(X26:Y26),"")</f>
        <v/>
      </c>
      <c r="Q26" s="19">
        <f>IFERROR(SUM(Z26:AA26),"")</f>
        <v/>
      </c>
      <c r="R26" s="21">
        <f>IF(ISNUMBER(J26),J26,IF(ISNUMBER(K26),-K26,""))</f>
        <v/>
      </c>
      <c r="S26" s="13">
        <f>IF(ISNUMBER(K26),K26,IF(ISNUMBER(J26),-J26,""))</f>
        <v/>
      </c>
      <c r="T26" s="13">
        <f>IF(AND(ISNUMBER(R26),ISNUMBER(R24)),VLOOKUP(ABS(R26-R24),'IMP Table'!$A$2:$C$26,3)*SIGN(R26-R24),"")</f>
        <v/>
      </c>
      <c r="U26" s="13">
        <f>IF(AND(ISNUMBER(R26),ISNUMBER(R25)),VLOOKUP(ABS(R26-R25),'IMP Table'!$A$2:$C$26,3)*SIGN(R26-R25),"")</f>
        <v/>
      </c>
      <c r="V26" s="13">
        <f>IF(AND(ISNUMBER(S26),ISNUMBER(S24)),VLOOKUP(ABS(S26-S24),'IMP Table'!$A$2:$C$26,3)*SIGN(S26-S24),"")</f>
        <v/>
      </c>
      <c r="W26" s="13">
        <f>IF(AND(ISNUMBER(S26),ISNUMBER(S25)),VLOOKUP(ABS(S26-S25),'IMP Table'!$A$2:$C$26,3)*SIGN(S26-S25),"")</f>
        <v/>
      </c>
      <c r="X26" s="13">
        <f>IF(AND(ISNUMBER(R26),ISNUMBER(R24)),IF(R26&gt;R24,1,IF(R26=R24,0.5,0)),0.5)</f>
        <v/>
      </c>
      <c r="Y26" s="13">
        <f>IF(AND(ISNUMBER(R26),ISNUMBER(R25)),IF(R26&gt;R25,1,IF(R26=R25,0.5,0)),0.5)</f>
        <v/>
      </c>
      <c r="Z26" s="13">
        <f>IF(AND(ISNUMBER(S26),ISNUMBER(S24)),IF(S26&gt;S24,1,IF(S26=S24,0.5,0)),0.5)</f>
        <v/>
      </c>
      <c r="AA26" s="13">
        <f>IF(AND(ISNUMBER(S26),ISNUMBER(S25)),IF(S26&gt;S25,1,IF(S26=S25,0.5,0)),0.5)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4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5">
        <f>IFERROR(AVERAGE(T27:U27),"")</f>
        <v/>
      </c>
      <c r="M27" s="4">
        <f>IFERROR(AVERAGE(V27:W27),"")</f>
        <v/>
      </c>
      <c r="N27" s="5">
        <f>P27/2</f>
        <v/>
      </c>
      <c r="O27" s="5">
        <f>Q27/2</f>
        <v/>
      </c>
      <c r="P27" s="4">
        <f>IFERROR(SUM(X27:Y27),"")</f>
        <v/>
      </c>
      <c r="Q27" s="4">
        <f>IFERROR(SUM(Z27:AA27),"")</f>
        <v/>
      </c>
      <c r="R27" s="16">
        <f>IF(ISNUMBER(J27),J27,IF(ISNUMBER(K27),-K27,""))</f>
        <v/>
      </c>
      <c r="S27">
        <f>IF(ISNUMBER(K27),K27,IF(ISNUMBER(J27),-J27,""))</f>
        <v/>
      </c>
      <c r="T27">
        <f>IF(AND(ISNUMBER(R27),ISNUMBER(R28)),VLOOKUP(ABS(R27-R28),'IMP Table'!$A$2:$C$26,3)*SIGN(R27-R28),"")</f>
        <v/>
      </c>
      <c r="U27">
        <f>IF(AND(ISNUMBER(R27),ISNUMBER(R29)),VLOOKUP(ABS(R27-R29),'IMP Table'!$A$2:$C$26,3)*SIGN(R27-R29),"")</f>
        <v/>
      </c>
      <c r="V27">
        <f>IF(AND(ISNUMBER(S27),ISNUMBER(S28)),VLOOKUP(ABS(S27-S28),'IMP Table'!$A$2:$C$26,3)*SIGN(S27-S28),"")</f>
        <v/>
      </c>
      <c r="W27">
        <f>IF(AND(ISNUMBER(S27),ISNUMBER(S29)),VLOOKUP(ABS(S27-S29),'IMP Table'!$A$2:$C$26,3)*SIGN(S27-S29),"")</f>
        <v/>
      </c>
      <c r="X27">
        <f>IF(AND(ISNUMBER(R27),ISNUMBER(R28)),IF(R27&gt;R28,1,IF(R27=R28,0.5,0)),0.5)</f>
        <v/>
      </c>
      <c r="Y27">
        <f>IF(AND(ISNUMBER(R27),ISNUMBER(R29)),IF(R27&gt;R29,1,IF(R27=R29,0.5,0)),0.5)</f>
        <v/>
      </c>
      <c r="Z27">
        <f>IF(AND(ISNUMBER(S27),ISNUMBER(S28)),IF(S27&gt;S28,1,IF(S27=S28,0.5,0)),0.5)</f>
        <v/>
      </c>
      <c r="AA27">
        <f>IF(AND(ISNUMBER(S27),ISNUMBER(S29)),IF(S27&gt;S29,1,IF(S27=S29,0.5,0)),0.5)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4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5">
        <f>IFERROR(AVERAGE(T28:U28),"")</f>
        <v/>
      </c>
      <c r="M28" s="4">
        <f>IFERROR(AVERAGE(V28:W28),"")</f>
        <v/>
      </c>
      <c r="N28" s="5">
        <f>P28/2</f>
        <v/>
      </c>
      <c r="O28" s="5">
        <f>Q28/2</f>
        <v/>
      </c>
      <c r="P28" s="4">
        <f>IFERROR(SUM(X28:Y28),"")</f>
        <v/>
      </c>
      <c r="Q28" s="4">
        <f>IFERROR(SUM(Z28:AA28),"")</f>
        <v/>
      </c>
      <c r="R28" s="16">
        <f>IF(ISNUMBER(J28),J28,IF(ISNUMBER(K28),-K28,""))</f>
        <v/>
      </c>
      <c r="S28">
        <f>IF(ISNUMBER(K28),K28,IF(ISNUMBER(J28),-J28,""))</f>
        <v/>
      </c>
      <c r="T28">
        <f>IF(AND(ISNUMBER(R28),ISNUMBER(R27)),VLOOKUP(ABS(R28-R27),'IMP Table'!$A$2:$C$26,3)*SIGN(R28-R27),"")</f>
        <v/>
      </c>
      <c r="U28">
        <f>IF(AND(ISNUMBER(R28),ISNUMBER(R29)),VLOOKUP(ABS(R28-R29),'IMP Table'!$A$2:$C$26,3)*SIGN(R28-R29),"")</f>
        <v/>
      </c>
      <c r="V28">
        <f>IF(AND(ISNUMBER(S28),ISNUMBER(S27)),VLOOKUP(ABS(S28-S27),'IMP Table'!$A$2:$C$26,3)*SIGN(S28-S27),"")</f>
        <v/>
      </c>
      <c r="W28">
        <f>IF(AND(ISNUMBER(S28),ISNUMBER(S29)),VLOOKUP(ABS(S28-S29),'IMP Table'!$A$2:$C$26,3)*SIGN(S28-S29),"")</f>
        <v/>
      </c>
      <c r="X28">
        <f>IF(AND(ISNUMBER(R28),ISNUMBER(R27)),IF(R28&gt;R27,1,IF(R28=R27,0.5,0)),0.5)</f>
        <v/>
      </c>
      <c r="Y28">
        <f>IF(AND(ISNUMBER(R28),ISNUMBER(R29)),IF(R28&gt;R29,1,IF(R28=R29,0.5,0)),0.5)</f>
        <v/>
      </c>
      <c r="Z28">
        <f>IF(AND(ISNUMBER(S28),ISNUMBER(S27)),IF(S28&gt;S27,1,IF(S28=S27,0.5,0)),0.5)</f>
        <v/>
      </c>
      <c r="AA28">
        <f>IF(AND(ISNUMBER(S28),ISNUMBER(S29)),IF(S28&gt;S29,1,IF(S28=S29,0.5,0)),0.5)</f>
        <v/>
      </c>
    </row>
    <row r="29">
      <c r="A29" s="13" t="n"/>
      <c r="B29" s="13">
        <f>'By Round'!A30</f>
        <v/>
      </c>
      <c r="C29" s="13">
        <f>'By Round'!B33</f>
        <v/>
      </c>
      <c r="D29" s="13">
        <f>'By Round'!C33</f>
        <v/>
      </c>
      <c r="E29" s="13">
        <f>'By Round'!D33</f>
        <v/>
      </c>
      <c r="F29" s="17" t="inlineStr">
        <is>
          <t>EW</t>
        </is>
      </c>
      <c r="G29" s="13">
        <f>IF(ISBLANK('By Round'!G33),"",'By Round'!G33)</f>
        <v/>
      </c>
      <c r="H29" s="13">
        <f>IF(ISBLANK('By Round'!H33),"",'By Round'!H33)</f>
        <v/>
      </c>
      <c r="I29" s="13">
        <f>IF(ISBLANK('By Round'!I33),"",'By Round'!I33)</f>
        <v/>
      </c>
      <c r="J29" s="13">
        <f>IF(ISBLANK('By Round'!J33),"",'By Round'!J33)</f>
        <v/>
      </c>
      <c r="K29" s="13">
        <f>IF(ISBLANK('By Round'!K33),"",'By Round'!K33)</f>
        <v/>
      </c>
      <c r="L29" s="18">
        <f>IFERROR(AVERAGE(T29:U29),"")</f>
        <v/>
      </c>
      <c r="M29" s="19">
        <f>IFERROR(AVERAGE(V29:W29),"")</f>
        <v/>
      </c>
      <c r="N29" s="20">
        <f>P29/2</f>
        <v/>
      </c>
      <c r="O29" s="20">
        <f>Q29/2</f>
        <v/>
      </c>
      <c r="P29" s="19">
        <f>IFERROR(SUM(X29:Y29),"")</f>
        <v/>
      </c>
      <c r="Q29" s="19">
        <f>IFERROR(SUM(Z29:AA29),"")</f>
        <v/>
      </c>
      <c r="R29" s="21">
        <f>IF(ISNUMBER(J29),J29,IF(ISNUMBER(K29),-K29,""))</f>
        <v/>
      </c>
      <c r="S29" s="13">
        <f>IF(ISNUMBER(K29),K29,IF(ISNUMBER(J29),-J29,""))</f>
        <v/>
      </c>
      <c r="T29" s="13">
        <f>IF(AND(ISNUMBER(R29),ISNUMBER(R27)),VLOOKUP(ABS(R29-R27),'IMP Table'!$A$2:$C$26,3)*SIGN(R29-R27),"")</f>
        <v/>
      </c>
      <c r="U29" s="13">
        <f>IF(AND(ISNUMBER(R29),ISNUMBER(R28)),VLOOKUP(ABS(R29-R28),'IMP Table'!$A$2:$C$26,3)*SIGN(R29-R28),"")</f>
        <v/>
      </c>
      <c r="V29" s="13">
        <f>IF(AND(ISNUMBER(S29),ISNUMBER(S27)),VLOOKUP(ABS(S29-S27),'IMP Table'!$A$2:$C$26,3)*SIGN(S29-S27),"")</f>
        <v/>
      </c>
      <c r="W29" s="13">
        <f>IF(AND(ISNUMBER(S29),ISNUMBER(S28)),VLOOKUP(ABS(S29-S28),'IMP Table'!$A$2:$C$26,3)*SIGN(S29-S28),"")</f>
        <v/>
      </c>
      <c r="X29" s="13">
        <f>IF(AND(ISNUMBER(R29),ISNUMBER(R27)),IF(R29&gt;R27,1,IF(R29=R27,0.5,0)),0.5)</f>
        <v/>
      </c>
      <c r="Y29" s="13">
        <f>IF(AND(ISNUMBER(R29),ISNUMBER(R28)),IF(R29&gt;R28,1,IF(R29=R28,0.5,0)),0.5)</f>
        <v/>
      </c>
      <c r="Z29" s="13">
        <f>IF(AND(ISNUMBER(S29),ISNUMBER(S27)),IF(S29&gt;S27,1,IF(S29=S27,0.5,0)),0.5)</f>
        <v/>
      </c>
      <c r="AA29" s="13">
        <f>IF(AND(ISNUMBER(S29),ISNUMBER(S28)),IF(S29&gt;S28,1,IF(S29=S28,0.5,0)),0.5)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4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5">
        <f>IFERROR(AVERAGE(T30:U30),"")</f>
        <v/>
      </c>
      <c r="M30" s="4">
        <f>IFERROR(AVERAGE(V30:W30),"")</f>
        <v/>
      </c>
      <c r="N30" s="5">
        <f>P30/2</f>
        <v/>
      </c>
      <c r="O30" s="5">
        <f>Q30/2</f>
        <v/>
      </c>
      <c r="P30" s="4">
        <f>IFERROR(SUM(X30:Y30),"")</f>
        <v/>
      </c>
      <c r="Q30" s="4">
        <f>IFERROR(SUM(Z30:AA30),"")</f>
        <v/>
      </c>
      <c r="R30" s="16">
        <f>IF(ISNUMBER(J30),J30,IF(ISNUMBER(K30),-K30,""))</f>
        <v/>
      </c>
      <c r="S30">
        <f>IF(ISNUMBER(K30),K30,IF(ISNUMBER(J30),-J30,""))</f>
        <v/>
      </c>
      <c r="T30">
        <f>IF(AND(ISNUMBER(R30),ISNUMBER(R31)),VLOOKUP(ABS(R30-R31),'IMP Table'!$A$2:$C$26,3)*SIGN(R30-R31),"")</f>
        <v/>
      </c>
      <c r="U30">
        <f>IF(AND(ISNUMBER(R30),ISNUMBER(R32)),VLOOKUP(ABS(R30-R32),'IMP Table'!$A$2:$C$26,3)*SIGN(R30-R32),"")</f>
        <v/>
      </c>
      <c r="V30">
        <f>IF(AND(ISNUMBER(S30),ISNUMBER(S31)),VLOOKUP(ABS(S30-S31),'IMP Table'!$A$2:$C$26,3)*SIGN(S30-S31),"")</f>
        <v/>
      </c>
      <c r="W30">
        <f>IF(AND(ISNUMBER(S30),ISNUMBER(S32)),VLOOKUP(ABS(S30-S32),'IMP Table'!$A$2:$C$26,3)*SIGN(S30-S32),"")</f>
        <v/>
      </c>
      <c r="X30">
        <f>IF(AND(ISNUMBER(R30),ISNUMBER(R31)),IF(R30&gt;R31,1,IF(R30=R31,0.5,0)),0.5)</f>
        <v/>
      </c>
      <c r="Y30">
        <f>IF(AND(ISNUMBER(R30),ISNUMBER(R32)),IF(R30&gt;R32,1,IF(R30=R32,0.5,0)),0.5)</f>
        <v/>
      </c>
      <c r="Z30">
        <f>IF(AND(ISNUMBER(S30),ISNUMBER(S31)),IF(S30&gt;S31,1,IF(S30=S31,0.5,0)),0.5)</f>
        <v/>
      </c>
      <c r="AA30">
        <f>IF(AND(ISNUMBER(S30),ISNUMBER(S32)),IF(S30&gt;S32,1,IF(S30=S32,0.5,0)),0.5)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4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5">
        <f>IFERROR(AVERAGE(T31:U31),"")</f>
        <v/>
      </c>
      <c r="M31" s="4">
        <f>IFERROR(AVERAGE(V31:W31),"")</f>
        <v/>
      </c>
      <c r="N31" s="5">
        <f>P31/2</f>
        <v/>
      </c>
      <c r="O31" s="5">
        <f>Q31/2</f>
        <v/>
      </c>
      <c r="P31" s="4">
        <f>IFERROR(SUM(X31:Y31),"")</f>
        <v/>
      </c>
      <c r="Q31" s="4">
        <f>IFERROR(SUM(Z31:AA31),"")</f>
        <v/>
      </c>
      <c r="R31" s="16">
        <f>IF(ISNUMBER(J31),J31,IF(ISNUMBER(K31),-K31,""))</f>
        <v/>
      </c>
      <c r="S31">
        <f>IF(ISNUMBER(K31),K31,IF(ISNUMBER(J31),-J31,""))</f>
        <v/>
      </c>
      <c r="T31">
        <f>IF(AND(ISNUMBER(R31),ISNUMBER(R30)),VLOOKUP(ABS(R31-R30),'IMP Table'!$A$2:$C$26,3)*SIGN(R31-R30),"")</f>
        <v/>
      </c>
      <c r="U31">
        <f>IF(AND(ISNUMBER(R31),ISNUMBER(R32)),VLOOKUP(ABS(R31-R32),'IMP Table'!$A$2:$C$26,3)*SIGN(R31-R32),"")</f>
        <v/>
      </c>
      <c r="V31">
        <f>IF(AND(ISNUMBER(S31),ISNUMBER(S30)),VLOOKUP(ABS(S31-S30),'IMP Table'!$A$2:$C$26,3)*SIGN(S31-S30),"")</f>
        <v/>
      </c>
      <c r="W31">
        <f>IF(AND(ISNUMBER(S31),ISNUMBER(S32)),VLOOKUP(ABS(S31-S32),'IMP Table'!$A$2:$C$26,3)*SIGN(S31-S32),"")</f>
        <v/>
      </c>
      <c r="X31">
        <f>IF(AND(ISNUMBER(R31),ISNUMBER(R30)),IF(R31&gt;R30,1,IF(R31=R30,0.5,0)),0.5)</f>
        <v/>
      </c>
      <c r="Y31">
        <f>IF(AND(ISNUMBER(R31),ISNUMBER(R32)),IF(R31&gt;R32,1,IF(R31=R32,0.5,0)),0.5)</f>
        <v/>
      </c>
      <c r="Z31">
        <f>IF(AND(ISNUMBER(S31),ISNUMBER(S30)),IF(S31&gt;S30,1,IF(S31=S30,0.5,0)),0.5)</f>
        <v/>
      </c>
      <c r="AA31">
        <f>IF(AND(ISNUMBER(S31),ISNUMBER(S32)),IF(S31&gt;S32,1,IF(S31=S32,0.5,0)),0.5)</f>
        <v/>
      </c>
    </row>
    <row r="32">
      <c r="A32" s="13" t="n"/>
      <c r="B32" s="13">
        <f>'By Round'!A30</f>
        <v/>
      </c>
      <c r="C32" s="13">
        <f>'By Round'!B30</f>
        <v/>
      </c>
      <c r="D32" s="13">
        <f>'By Round'!C30</f>
        <v/>
      </c>
      <c r="E32" s="13">
        <f>'By Round'!D30</f>
        <v/>
      </c>
      <c r="F32" s="17" t="inlineStr">
        <is>
          <t>Both</t>
        </is>
      </c>
      <c r="G32" s="13">
        <f>IF(ISBLANK('By Round'!G30),"",'By Round'!G30)</f>
        <v/>
      </c>
      <c r="H32" s="13">
        <f>IF(ISBLANK('By Round'!H30),"",'By Round'!H30)</f>
        <v/>
      </c>
      <c r="I32" s="13">
        <f>IF(ISBLANK('By Round'!I30),"",'By Round'!I30)</f>
        <v/>
      </c>
      <c r="J32" s="13">
        <f>IF(ISBLANK('By Round'!J30),"",'By Round'!J30)</f>
        <v/>
      </c>
      <c r="K32" s="13">
        <f>IF(ISBLANK('By Round'!K30),"",'By Round'!K30)</f>
        <v/>
      </c>
      <c r="L32" s="18">
        <f>IFERROR(AVERAGE(T32:U32),"")</f>
        <v/>
      </c>
      <c r="M32" s="19">
        <f>IFERROR(AVERAGE(V32:W32),"")</f>
        <v/>
      </c>
      <c r="N32" s="20">
        <f>P32/2</f>
        <v/>
      </c>
      <c r="O32" s="20">
        <f>Q32/2</f>
        <v/>
      </c>
      <c r="P32" s="19">
        <f>IFERROR(SUM(X32:Y32),"")</f>
        <v/>
      </c>
      <c r="Q32" s="19">
        <f>IFERROR(SUM(Z32:AA32),"")</f>
        <v/>
      </c>
      <c r="R32" s="21">
        <f>IF(ISNUMBER(J32),J32,IF(ISNUMBER(K32),-K32,""))</f>
        <v/>
      </c>
      <c r="S32" s="13">
        <f>IF(ISNUMBER(K32),K32,IF(ISNUMBER(J32),-J32,""))</f>
        <v/>
      </c>
      <c r="T32" s="13">
        <f>IF(AND(ISNUMBER(R32),ISNUMBER(R30)),VLOOKUP(ABS(R32-R30),'IMP Table'!$A$2:$C$26,3)*SIGN(R32-R30),"")</f>
        <v/>
      </c>
      <c r="U32" s="13">
        <f>IF(AND(ISNUMBER(R32),ISNUMBER(R31)),VLOOKUP(ABS(R32-R31),'IMP Table'!$A$2:$C$26,3)*SIGN(R32-R31),"")</f>
        <v/>
      </c>
      <c r="V32" s="13">
        <f>IF(AND(ISNUMBER(S32),ISNUMBER(S30)),VLOOKUP(ABS(S32-S30),'IMP Table'!$A$2:$C$26,3)*SIGN(S32-S30),"")</f>
        <v/>
      </c>
      <c r="W32" s="13">
        <f>IF(AND(ISNUMBER(S32),ISNUMBER(S31)),VLOOKUP(ABS(S32-S31),'IMP Table'!$A$2:$C$26,3)*SIGN(S32-S31),"")</f>
        <v/>
      </c>
      <c r="X32" s="13">
        <f>IF(AND(ISNUMBER(R32),ISNUMBER(R30)),IF(R32&gt;R30,1,IF(R32=R30,0.5,0)),0.5)</f>
        <v/>
      </c>
      <c r="Y32" s="13">
        <f>IF(AND(ISNUMBER(R32),ISNUMBER(R31)),IF(R32&gt;R31,1,IF(R32=R31,0.5,0)),0.5)</f>
        <v/>
      </c>
      <c r="Z32" s="13">
        <f>IF(AND(ISNUMBER(S32),ISNUMBER(S30)),IF(S32&gt;S30,1,IF(S32=S30,0.5,0)),0.5)</f>
        <v/>
      </c>
      <c r="AA32" s="13">
        <f>IF(AND(ISNUMBER(S32),ISNUMBER(S31)),IF(S32&gt;S31,1,IF(S32=S31,0.5,0)),0.5)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4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5">
        <f>IFERROR(AVERAGE(T33:U33),"")</f>
        <v/>
      </c>
      <c r="M33" s="4">
        <f>IFERROR(AVERAGE(V33:W33),"")</f>
        <v/>
      </c>
      <c r="N33" s="5">
        <f>P33/2</f>
        <v/>
      </c>
      <c r="O33" s="5">
        <f>Q33/2</f>
        <v/>
      </c>
      <c r="P33" s="4">
        <f>IFERROR(SUM(X33:Y33),"")</f>
        <v/>
      </c>
      <c r="Q33" s="4">
        <f>IFERROR(SUM(Z33:AA33),"")</f>
        <v/>
      </c>
      <c r="R33" s="16">
        <f>IF(ISNUMBER(J33),J33,IF(ISNUMBER(K33),-K33,""))</f>
        <v/>
      </c>
      <c r="S33">
        <f>IF(ISNUMBER(K33),K33,IF(ISNUMBER(J33),-J33,""))</f>
        <v/>
      </c>
      <c r="T33">
        <f>IF(AND(ISNUMBER(R33),ISNUMBER(R34)),VLOOKUP(ABS(R33-R34),'IMP Table'!$A$2:$C$26,3)*SIGN(R33-R34),"")</f>
        <v/>
      </c>
      <c r="U33">
        <f>IF(AND(ISNUMBER(R33),ISNUMBER(R35)),VLOOKUP(ABS(R33-R35),'IMP Table'!$A$2:$C$26,3)*SIGN(R33-R35),"")</f>
        <v/>
      </c>
      <c r="V33">
        <f>IF(AND(ISNUMBER(S33),ISNUMBER(S34)),VLOOKUP(ABS(S33-S34),'IMP Table'!$A$2:$C$26,3)*SIGN(S33-S34),"")</f>
        <v/>
      </c>
      <c r="W33">
        <f>IF(AND(ISNUMBER(S33),ISNUMBER(S35)),VLOOKUP(ABS(S33-S35),'IMP Table'!$A$2:$C$26,3)*SIGN(S33-S35),"")</f>
        <v/>
      </c>
      <c r="X33">
        <f>IF(AND(ISNUMBER(R33),ISNUMBER(R34)),IF(R33&gt;R34,1,IF(R33=R34,0.5,0)),0.5)</f>
        <v/>
      </c>
      <c r="Y33">
        <f>IF(AND(ISNUMBER(R33),ISNUMBER(R35)),IF(R33&gt;R35,1,IF(R33=R35,0.5,0)),0.5)</f>
        <v/>
      </c>
      <c r="Z33">
        <f>IF(AND(ISNUMBER(S33),ISNUMBER(S34)),IF(S33&gt;S34,1,IF(S33=S34,0.5,0)),0.5)</f>
        <v/>
      </c>
      <c r="AA33">
        <f>IF(AND(ISNUMBER(S33),ISNUMBER(S35)),IF(S33&gt;S35,1,IF(S33=S35,0.5,0)),0.5)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4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5">
        <f>IFERROR(AVERAGE(T34:U34),"")</f>
        <v/>
      </c>
      <c r="M34" s="4">
        <f>IFERROR(AVERAGE(V34:W34),"")</f>
        <v/>
      </c>
      <c r="N34" s="5">
        <f>P34/2</f>
        <v/>
      </c>
      <c r="O34" s="5">
        <f>Q34/2</f>
        <v/>
      </c>
      <c r="P34" s="4">
        <f>IFERROR(SUM(X34:Y34),"")</f>
        <v/>
      </c>
      <c r="Q34" s="4">
        <f>IFERROR(SUM(Z34:AA34),"")</f>
        <v/>
      </c>
      <c r="R34" s="16">
        <f>IF(ISNUMBER(J34),J34,IF(ISNUMBER(K34),-K34,""))</f>
        <v/>
      </c>
      <c r="S34">
        <f>IF(ISNUMBER(K34),K34,IF(ISNUMBER(J34),-J34,""))</f>
        <v/>
      </c>
      <c r="T34">
        <f>IF(AND(ISNUMBER(R34),ISNUMBER(R33)),VLOOKUP(ABS(R34-R33),'IMP Table'!$A$2:$C$26,3)*SIGN(R34-R33),"")</f>
        <v/>
      </c>
      <c r="U34">
        <f>IF(AND(ISNUMBER(R34),ISNUMBER(R35)),VLOOKUP(ABS(R34-R35),'IMP Table'!$A$2:$C$26,3)*SIGN(R34-R35),"")</f>
        <v/>
      </c>
      <c r="V34">
        <f>IF(AND(ISNUMBER(S34),ISNUMBER(S33)),VLOOKUP(ABS(S34-S33),'IMP Table'!$A$2:$C$26,3)*SIGN(S34-S33),"")</f>
        <v/>
      </c>
      <c r="W34">
        <f>IF(AND(ISNUMBER(S34),ISNUMBER(S35)),VLOOKUP(ABS(S34-S35),'IMP Table'!$A$2:$C$26,3)*SIGN(S34-S35),"")</f>
        <v/>
      </c>
      <c r="X34">
        <f>IF(AND(ISNUMBER(R34),ISNUMBER(R33)),IF(R34&gt;R33,1,IF(R34=R33,0.5,0)),0.5)</f>
        <v/>
      </c>
      <c r="Y34">
        <f>IF(AND(ISNUMBER(R34),ISNUMBER(R35)),IF(R34&gt;R35,1,IF(R34=R35,0.5,0)),0.5)</f>
        <v/>
      </c>
      <c r="Z34">
        <f>IF(AND(ISNUMBER(S34),ISNUMBER(S33)),IF(S34&gt;S33,1,IF(S34=S33,0.5,0)),0.5)</f>
        <v/>
      </c>
      <c r="AA34">
        <f>IF(AND(ISNUMBER(S34),ISNUMBER(S35)),IF(S34&gt;S35,1,IF(S34=S35,0.5,0)),0.5)</f>
        <v/>
      </c>
    </row>
    <row r="35">
      <c r="A35" s="13" t="n"/>
      <c r="B35" s="13">
        <f>'By Round'!A30</f>
        <v/>
      </c>
      <c r="C35" s="13">
        <f>'By Round'!B30</f>
        <v/>
      </c>
      <c r="D35" s="13">
        <f>'By Round'!C30</f>
        <v/>
      </c>
      <c r="E35" s="13">
        <f>'By Round'!D30</f>
        <v/>
      </c>
      <c r="F35" s="17" t="inlineStr">
        <is>
          <t>None</t>
        </is>
      </c>
      <c r="G35" s="13">
        <f>IF(ISBLANK('By Round'!G30),"",'By Round'!G30)</f>
        <v/>
      </c>
      <c r="H35" s="13">
        <f>IF(ISBLANK('By Round'!H30),"",'By Round'!H30)</f>
        <v/>
      </c>
      <c r="I35" s="13">
        <f>IF(ISBLANK('By Round'!I30),"",'By Round'!I30)</f>
        <v/>
      </c>
      <c r="J35" s="13">
        <f>IF(ISBLANK('By Round'!J30),"",'By Round'!J30)</f>
        <v/>
      </c>
      <c r="K35" s="13">
        <f>IF(ISBLANK('By Round'!K30),"",'By Round'!K30)</f>
        <v/>
      </c>
      <c r="L35" s="18">
        <f>IFERROR(AVERAGE(T35:U35),"")</f>
        <v/>
      </c>
      <c r="M35" s="19">
        <f>IFERROR(AVERAGE(V35:W35),"")</f>
        <v/>
      </c>
      <c r="N35" s="20">
        <f>P35/2</f>
        <v/>
      </c>
      <c r="O35" s="20">
        <f>Q35/2</f>
        <v/>
      </c>
      <c r="P35" s="19">
        <f>IFERROR(SUM(X35:Y35),"")</f>
        <v/>
      </c>
      <c r="Q35" s="19">
        <f>IFERROR(SUM(Z35:AA35),"")</f>
        <v/>
      </c>
      <c r="R35" s="21">
        <f>IF(ISNUMBER(J35),J35,IF(ISNUMBER(K35),-K35,""))</f>
        <v/>
      </c>
      <c r="S35" s="13">
        <f>IF(ISNUMBER(K35),K35,IF(ISNUMBER(J35),-J35,""))</f>
        <v/>
      </c>
      <c r="T35" s="13">
        <f>IF(AND(ISNUMBER(R35),ISNUMBER(R33)),VLOOKUP(ABS(R35-R33),'IMP Table'!$A$2:$C$26,3)*SIGN(R35-R33),"")</f>
        <v/>
      </c>
      <c r="U35" s="13">
        <f>IF(AND(ISNUMBER(R35),ISNUMBER(R34)),VLOOKUP(ABS(R35-R34),'IMP Table'!$A$2:$C$26,3)*SIGN(R35-R34),"")</f>
        <v/>
      </c>
      <c r="V35" s="13">
        <f>IF(AND(ISNUMBER(S35),ISNUMBER(S33)),VLOOKUP(ABS(S35-S33),'IMP Table'!$A$2:$C$26,3)*SIGN(S35-S33),"")</f>
        <v/>
      </c>
      <c r="W35" s="13">
        <f>IF(AND(ISNUMBER(S35),ISNUMBER(S34)),VLOOKUP(ABS(S35-S34),'IMP Table'!$A$2:$C$26,3)*SIGN(S35-S34),"")</f>
        <v/>
      </c>
      <c r="X35" s="13">
        <f>IF(AND(ISNUMBER(R35),ISNUMBER(R33)),IF(R35&gt;R33,1,IF(R35=R33,0.5,0)),0.5)</f>
        <v/>
      </c>
      <c r="Y35" s="13">
        <f>IF(AND(ISNUMBER(R35),ISNUMBER(R34)),IF(R35&gt;R34,1,IF(R35=R34,0.5,0)),0.5)</f>
        <v/>
      </c>
      <c r="Z35" s="13">
        <f>IF(AND(ISNUMBER(S35),ISNUMBER(S33)),IF(S35&gt;S33,1,IF(S35=S33,0.5,0)),0.5)</f>
        <v/>
      </c>
      <c r="AA35" s="13">
        <f>IF(AND(ISNUMBER(S35),ISNUMBER(S34)),IF(S35&gt;S34,1,IF(S35=S34,0.5,0)),0.5)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4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5">
        <f>IFERROR(AVERAGE(T36:U36),"")</f>
        <v/>
      </c>
      <c r="M36" s="4">
        <f>IFERROR(AVERAGE(V36:W36),"")</f>
        <v/>
      </c>
      <c r="N36" s="5">
        <f>P36/2</f>
        <v/>
      </c>
      <c r="O36" s="5">
        <f>Q36/2</f>
        <v/>
      </c>
      <c r="P36" s="4">
        <f>IFERROR(SUM(X36:Y36),"")</f>
        <v/>
      </c>
      <c r="Q36" s="4">
        <f>IFERROR(SUM(Z36:AA36),"")</f>
        <v/>
      </c>
      <c r="R36" s="16">
        <f>IF(ISNUMBER(J36),J36,IF(ISNUMBER(K36),-K36,""))</f>
        <v/>
      </c>
      <c r="S36">
        <f>IF(ISNUMBER(K36),K36,IF(ISNUMBER(J36),-J36,""))</f>
        <v/>
      </c>
      <c r="T36">
        <f>IF(AND(ISNUMBER(R36),ISNUMBER(R37)),VLOOKUP(ABS(R36-R37),'IMP Table'!$A$2:$C$26,3)*SIGN(R36-R37),"")</f>
        <v/>
      </c>
      <c r="U36">
        <f>IF(AND(ISNUMBER(R36),ISNUMBER(R38)),VLOOKUP(ABS(R36-R38),'IMP Table'!$A$2:$C$26,3)*SIGN(R36-R38),"")</f>
        <v/>
      </c>
      <c r="V36">
        <f>IF(AND(ISNUMBER(S36),ISNUMBER(S37)),VLOOKUP(ABS(S36-S37),'IMP Table'!$A$2:$C$26,3)*SIGN(S36-S37),"")</f>
        <v/>
      </c>
      <c r="W36">
        <f>IF(AND(ISNUMBER(S36),ISNUMBER(S38)),VLOOKUP(ABS(S36-S38),'IMP Table'!$A$2:$C$26,3)*SIGN(S36-S38),"")</f>
        <v/>
      </c>
      <c r="X36">
        <f>IF(AND(ISNUMBER(R36),ISNUMBER(R37)),IF(R36&gt;R37,1,IF(R36=R37,0.5,0)),0.5)</f>
        <v/>
      </c>
      <c r="Y36">
        <f>IF(AND(ISNUMBER(R36),ISNUMBER(R38)),IF(R36&gt;R38,1,IF(R36=R38,0.5,0)),0.5)</f>
        <v/>
      </c>
      <c r="Z36">
        <f>IF(AND(ISNUMBER(S36),ISNUMBER(S37)),IF(S36&gt;S37,1,IF(S36=S37,0.5,0)),0.5)</f>
        <v/>
      </c>
      <c r="AA36">
        <f>IF(AND(ISNUMBER(S36),ISNUMBER(S38)),IF(S36&gt;S38,1,IF(S36=S38,0.5,0)),0.5)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4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5">
        <f>IFERROR(AVERAGE(T37:U37),"")</f>
        <v/>
      </c>
      <c r="M37" s="4">
        <f>IFERROR(AVERAGE(V37:W37),"")</f>
        <v/>
      </c>
      <c r="N37" s="5">
        <f>P37/2</f>
        <v/>
      </c>
      <c r="O37" s="5">
        <f>Q37/2</f>
        <v/>
      </c>
      <c r="P37" s="4">
        <f>IFERROR(SUM(X37:Y37),"")</f>
        <v/>
      </c>
      <c r="Q37" s="4">
        <f>IFERROR(SUM(Z37:AA37),"")</f>
        <v/>
      </c>
      <c r="R37" s="16">
        <f>IF(ISNUMBER(J37),J37,IF(ISNUMBER(K37),-K37,""))</f>
        <v/>
      </c>
      <c r="S37">
        <f>IF(ISNUMBER(K37),K37,IF(ISNUMBER(J37),-J37,""))</f>
        <v/>
      </c>
      <c r="T37">
        <f>IF(AND(ISNUMBER(R37),ISNUMBER(R36)),VLOOKUP(ABS(R37-R36),'IMP Table'!$A$2:$C$26,3)*SIGN(R37-R36),"")</f>
        <v/>
      </c>
      <c r="U37">
        <f>IF(AND(ISNUMBER(R37),ISNUMBER(R38)),VLOOKUP(ABS(R37-R38),'IMP Table'!$A$2:$C$26,3)*SIGN(R37-R38),"")</f>
        <v/>
      </c>
      <c r="V37">
        <f>IF(AND(ISNUMBER(S37),ISNUMBER(S36)),VLOOKUP(ABS(S37-S36),'IMP Table'!$A$2:$C$26,3)*SIGN(S37-S36),"")</f>
        <v/>
      </c>
      <c r="W37">
        <f>IF(AND(ISNUMBER(S37),ISNUMBER(S38)),VLOOKUP(ABS(S37-S38),'IMP Table'!$A$2:$C$26,3)*SIGN(S37-S38),"")</f>
        <v/>
      </c>
      <c r="X37">
        <f>IF(AND(ISNUMBER(R37),ISNUMBER(R36)),IF(R37&gt;R36,1,IF(R37=R36,0.5,0)),0.5)</f>
        <v/>
      </c>
      <c r="Y37">
        <f>IF(AND(ISNUMBER(R37),ISNUMBER(R38)),IF(R37&gt;R38,1,IF(R37=R38,0.5,0)),0.5)</f>
        <v/>
      </c>
      <c r="Z37">
        <f>IF(AND(ISNUMBER(S37),ISNUMBER(S36)),IF(S37&gt;S36,1,IF(S37=S36,0.5,0)),0.5)</f>
        <v/>
      </c>
      <c r="AA37">
        <f>IF(AND(ISNUMBER(S37),ISNUMBER(S38)),IF(S37&gt;S38,1,IF(S37=S38,0.5,0)),0.5)</f>
        <v/>
      </c>
    </row>
    <row r="38">
      <c r="A38" s="13" t="n"/>
      <c r="B38" s="13">
        <f>'By Round'!A30</f>
        <v/>
      </c>
      <c r="C38" s="13">
        <f>'By Round'!B30</f>
        <v/>
      </c>
      <c r="D38" s="13">
        <f>'By Round'!C30</f>
        <v/>
      </c>
      <c r="E38" s="13">
        <f>'By Round'!D30</f>
        <v/>
      </c>
      <c r="F38" s="17" t="inlineStr">
        <is>
          <t>NS</t>
        </is>
      </c>
      <c r="G38" s="13">
        <f>IF(ISBLANK('By Round'!G30),"",'By Round'!G30)</f>
        <v/>
      </c>
      <c r="H38" s="13">
        <f>IF(ISBLANK('By Round'!H30),"",'By Round'!H30)</f>
        <v/>
      </c>
      <c r="I38" s="13">
        <f>IF(ISBLANK('By Round'!I30),"",'By Round'!I30)</f>
        <v/>
      </c>
      <c r="J38" s="13">
        <f>IF(ISBLANK('By Round'!J30),"",'By Round'!J30)</f>
        <v/>
      </c>
      <c r="K38" s="13">
        <f>IF(ISBLANK('By Round'!K30),"",'By Round'!K30)</f>
        <v/>
      </c>
      <c r="L38" s="18">
        <f>IFERROR(AVERAGE(T38:U38),"")</f>
        <v/>
      </c>
      <c r="M38" s="19">
        <f>IFERROR(AVERAGE(V38:W38),"")</f>
        <v/>
      </c>
      <c r="N38" s="20">
        <f>P38/2</f>
        <v/>
      </c>
      <c r="O38" s="20">
        <f>Q38/2</f>
        <v/>
      </c>
      <c r="P38" s="19">
        <f>IFERROR(SUM(X38:Y38),"")</f>
        <v/>
      </c>
      <c r="Q38" s="19">
        <f>IFERROR(SUM(Z38:AA38),"")</f>
        <v/>
      </c>
      <c r="R38" s="21">
        <f>IF(ISNUMBER(J38),J38,IF(ISNUMBER(K38),-K38,""))</f>
        <v/>
      </c>
      <c r="S38" s="13">
        <f>IF(ISNUMBER(K38),K38,IF(ISNUMBER(J38),-J38,""))</f>
        <v/>
      </c>
      <c r="T38" s="13">
        <f>IF(AND(ISNUMBER(R38),ISNUMBER(R36)),VLOOKUP(ABS(R38-R36),'IMP Table'!$A$2:$C$26,3)*SIGN(R38-R36),"")</f>
        <v/>
      </c>
      <c r="U38" s="13">
        <f>IF(AND(ISNUMBER(R38),ISNUMBER(R37)),VLOOKUP(ABS(R38-R37),'IMP Table'!$A$2:$C$26,3)*SIGN(R38-R37),"")</f>
        <v/>
      </c>
      <c r="V38" s="13">
        <f>IF(AND(ISNUMBER(S38),ISNUMBER(S36)),VLOOKUP(ABS(S38-S36),'IMP Table'!$A$2:$C$26,3)*SIGN(S38-S36),"")</f>
        <v/>
      </c>
      <c r="W38" s="13">
        <f>IF(AND(ISNUMBER(S38),ISNUMBER(S37)),VLOOKUP(ABS(S38-S37),'IMP Table'!$A$2:$C$26,3)*SIGN(S38-S37),"")</f>
        <v/>
      </c>
      <c r="X38" s="13">
        <f>IF(AND(ISNUMBER(R38),ISNUMBER(R36)),IF(R38&gt;R36,1,IF(R38=R36,0.5,0)),0.5)</f>
        <v/>
      </c>
      <c r="Y38" s="13">
        <f>IF(AND(ISNUMBER(R38),ISNUMBER(R37)),IF(R38&gt;R37,1,IF(R38=R37,0.5,0)),0.5)</f>
        <v/>
      </c>
      <c r="Z38" s="13">
        <f>IF(AND(ISNUMBER(S38),ISNUMBER(S36)),IF(S38&gt;S36,1,IF(S38=S36,0.5,0)),0.5)</f>
        <v/>
      </c>
      <c r="AA38" s="13">
        <f>IF(AND(ISNUMBER(S38),ISNUMBER(S37)),IF(S38&gt;S37,1,IF(S38=S37,0.5,0)),0.5)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4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5">
        <f>IFERROR(AVERAGE(T39:U39),"")</f>
        <v/>
      </c>
      <c r="M39" s="4">
        <f>IFERROR(AVERAGE(V39:W39),"")</f>
        <v/>
      </c>
      <c r="N39" s="5">
        <f>P39/2</f>
        <v/>
      </c>
      <c r="O39" s="5">
        <f>Q39/2</f>
        <v/>
      </c>
      <c r="P39" s="4">
        <f>IFERROR(SUM(X39:Y39),"")</f>
        <v/>
      </c>
      <c r="Q39" s="4">
        <f>IFERROR(SUM(Z39:AA39),"")</f>
        <v/>
      </c>
      <c r="R39" s="16">
        <f>IF(ISNUMBER(J39),J39,IF(ISNUMBER(K39),-K39,""))</f>
        <v/>
      </c>
      <c r="S39">
        <f>IF(ISNUMBER(K39),K39,IF(ISNUMBER(J39),-J39,""))</f>
        <v/>
      </c>
      <c r="T39">
        <f>IF(AND(ISNUMBER(R39),ISNUMBER(R40)),VLOOKUP(ABS(R39-R40),'IMP Table'!$A$2:$C$26,3)*SIGN(R39-R40),"")</f>
        <v/>
      </c>
      <c r="U39">
        <f>IF(AND(ISNUMBER(R39),ISNUMBER(R41)),VLOOKUP(ABS(R39-R41),'IMP Table'!$A$2:$C$26,3)*SIGN(R39-R41),"")</f>
        <v/>
      </c>
      <c r="V39">
        <f>IF(AND(ISNUMBER(S39),ISNUMBER(S40)),VLOOKUP(ABS(S39-S40),'IMP Table'!$A$2:$C$26,3)*SIGN(S39-S40),"")</f>
        <v/>
      </c>
      <c r="W39">
        <f>IF(AND(ISNUMBER(S39),ISNUMBER(S41)),VLOOKUP(ABS(S39-S41),'IMP Table'!$A$2:$C$26,3)*SIGN(S39-S41),"")</f>
        <v/>
      </c>
      <c r="X39">
        <f>IF(AND(ISNUMBER(R39),ISNUMBER(R40)),IF(R39&gt;R40,1,IF(R39=R40,0.5,0)),0.5)</f>
        <v/>
      </c>
      <c r="Y39">
        <f>IF(AND(ISNUMBER(R39),ISNUMBER(R41)),IF(R39&gt;R41,1,IF(R39=R41,0.5,0)),0.5)</f>
        <v/>
      </c>
      <c r="Z39">
        <f>IF(AND(ISNUMBER(S39),ISNUMBER(S40)),IF(S39&gt;S40,1,IF(S39=S40,0.5,0)),0.5)</f>
        <v/>
      </c>
      <c r="AA39">
        <f>IF(AND(ISNUMBER(S39),ISNUMBER(S41)),IF(S39&gt;S41,1,IF(S39=S41,0.5,0)),0.5)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4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5">
        <f>IFERROR(AVERAGE(T40:U40),"")</f>
        <v/>
      </c>
      <c r="M40" s="4">
        <f>IFERROR(AVERAGE(V40:W40),"")</f>
        <v/>
      </c>
      <c r="N40" s="5">
        <f>P40/2</f>
        <v/>
      </c>
      <c r="O40" s="5">
        <f>Q40/2</f>
        <v/>
      </c>
      <c r="P40" s="4">
        <f>IFERROR(SUM(X40:Y40),"")</f>
        <v/>
      </c>
      <c r="Q40" s="4">
        <f>IFERROR(SUM(Z40:AA40),"")</f>
        <v/>
      </c>
      <c r="R40" s="16">
        <f>IF(ISNUMBER(J40),J40,IF(ISNUMBER(K40),-K40,""))</f>
        <v/>
      </c>
      <c r="S40">
        <f>IF(ISNUMBER(K40),K40,IF(ISNUMBER(J40),-J40,""))</f>
        <v/>
      </c>
      <c r="T40">
        <f>IF(AND(ISNUMBER(R40),ISNUMBER(R39)),VLOOKUP(ABS(R40-R39),'IMP Table'!$A$2:$C$26,3)*SIGN(R40-R39),"")</f>
        <v/>
      </c>
      <c r="U40">
        <f>IF(AND(ISNUMBER(R40),ISNUMBER(R41)),VLOOKUP(ABS(R40-R41),'IMP Table'!$A$2:$C$26,3)*SIGN(R40-R41),"")</f>
        <v/>
      </c>
      <c r="V40">
        <f>IF(AND(ISNUMBER(S40),ISNUMBER(S39)),VLOOKUP(ABS(S40-S39),'IMP Table'!$A$2:$C$26,3)*SIGN(S40-S39),"")</f>
        <v/>
      </c>
      <c r="W40">
        <f>IF(AND(ISNUMBER(S40),ISNUMBER(S41)),VLOOKUP(ABS(S40-S41),'IMP Table'!$A$2:$C$26,3)*SIGN(S40-S41),"")</f>
        <v/>
      </c>
      <c r="X40">
        <f>IF(AND(ISNUMBER(R40),ISNUMBER(R39)),IF(R40&gt;R39,1,IF(R40=R39,0.5,0)),0.5)</f>
        <v/>
      </c>
      <c r="Y40">
        <f>IF(AND(ISNUMBER(R40),ISNUMBER(R41)),IF(R40&gt;R41,1,IF(R40=R41,0.5,0)),0.5)</f>
        <v/>
      </c>
      <c r="Z40">
        <f>IF(AND(ISNUMBER(S40),ISNUMBER(S39)),IF(S40&gt;S39,1,IF(S40=S39,0.5,0)),0.5)</f>
        <v/>
      </c>
      <c r="AA40">
        <f>IF(AND(ISNUMBER(S40),ISNUMBER(S41)),IF(S40&gt;S41,1,IF(S40=S41,0.5,0)),0.5)</f>
        <v/>
      </c>
    </row>
    <row r="41">
      <c r="A41" s="13" t="n"/>
      <c r="B41" s="13">
        <f>'By Round'!A39</f>
        <v/>
      </c>
      <c r="C41" s="13">
        <f>'By Round'!B45</f>
        <v/>
      </c>
      <c r="D41" s="13">
        <f>'By Round'!C45</f>
        <v/>
      </c>
      <c r="E41" s="13">
        <f>'By Round'!D45</f>
        <v/>
      </c>
      <c r="F41" s="17" t="inlineStr">
        <is>
          <t>Both</t>
        </is>
      </c>
      <c r="G41" s="13">
        <f>IF(ISBLANK('By Round'!G45),"",'By Round'!G45)</f>
        <v/>
      </c>
      <c r="H41" s="13">
        <f>IF(ISBLANK('By Round'!H45),"",'By Round'!H45)</f>
        <v/>
      </c>
      <c r="I41" s="13">
        <f>IF(ISBLANK('By Round'!I45),"",'By Round'!I45)</f>
        <v/>
      </c>
      <c r="J41" s="13">
        <f>IF(ISBLANK('By Round'!J45),"",'By Round'!J45)</f>
        <v/>
      </c>
      <c r="K41" s="13">
        <f>IF(ISBLANK('By Round'!K45),"",'By Round'!K45)</f>
        <v/>
      </c>
      <c r="L41" s="18">
        <f>IFERROR(AVERAGE(T41:U41),"")</f>
        <v/>
      </c>
      <c r="M41" s="19">
        <f>IFERROR(AVERAGE(V41:W41),"")</f>
        <v/>
      </c>
      <c r="N41" s="20">
        <f>P41/2</f>
        <v/>
      </c>
      <c r="O41" s="20">
        <f>Q41/2</f>
        <v/>
      </c>
      <c r="P41" s="19">
        <f>IFERROR(SUM(X41:Y41),"")</f>
        <v/>
      </c>
      <c r="Q41" s="19">
        <f>IFERROR(SUM(Z41:AA41),"")</f>
        <v/>
      </c>
      <c r="R41" s="21">
        <f>IF(ISNUMBER(J41),J41,IF(ISNUMBER(K41),-K41,""))</f>
        <v/>
      </c>
      <c r="S41" s="13">
        <f>IF(ISNUMBER(K41),K41,IF(ISNUMBER(J41),-J41,""))</f>
        <v/>
      </c>
      <c r="T41" s="13">
        <f>IF(AND(ISNUMBER(R41),ISNUMBER(R39)),VLOOKUP(ABS(R41-R39),'IMP Table'!$A$2:$C$26,3)*SIGN(R41-R39),"")</f>
        <v/>
      </c>
      <c r="U41" s="13">
        <f>IF(AND(ISNUMBER(R41),ISNUMBER(R40)),VLOOKUP(ABS(R41-R40),'IMP Table'!$A$2:$C$26,3)*SIGN(R41-R40),"")</f>
        <v/>
      </c>
      <c r="V41" s="13">
        <f>IF(AND(ISNUMBER(S41),ISNUMBER(S39)),VLOOKUP(ABS(S41-S39),'IMP Table'!$A$2:$C$26,3)*SIGN(S41-S39),"")</f>
        <v/>
      </c>
      <c r="W41" s="13">
        <f>IF(AND(ISNUMBER(S41),ISNUMBER(S40)),VLOOKUP(ABS(S41-S40),'IMP Table'!$A$2:$C$26,3)*SIGN(S41-S40),"")</f>
        <v/>
      </c>
      <c r="X41" s="13">
        <f>IF(AND(ISNUMBER(R41),ISNUMBER(R39)),IF(R41&gt;R39,1,IF(R41=R39,0.5,0)),0.5)</f>
        <v/>
      </c>
      <c r="Y41" s="13">
        <f>IF(AND(ISNUMBER(R41),ISNUMBER(R40)),IF(R41&gt;R40,1,IF(R41=R40,0.5,0)),0.5)</f>
        <v/>
      </c>
      <c r="Z41" s="13">
        <f>IF(AND(ISNUMBER(S41),ISNUMBER(S39)),IF(S41&gt;S39,1,IF(S41=S39,0.5,0)),0.5)</f>
        <v/>
      </c>
      <c r="AA41" s="13">
        <f>IF(AND(ISNUMBER(S41),ISNUMBER(S40)),IF(S41&gt;S40,1,IF(S41=S40,0.5,0)),0.5)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4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5">
        <f>IFERROR(AVERAGE(T42:U42),"")</f>
        <v/>
      </c>
      <c r="M42" s="4">
        <f>IFERROR(AVERAGE(V42:W42),"")</f>
        <v/>
      </c>
      <c r="N42" s="5">
        <f>P42/2</f>
        <v/>
      </c>
      <c r="O42" s="5">
        <f>Q42/2</f>
        <v/>
      </c>
      <c r="P42" s="4">
        <f>IFERROR(SUM(X42:Y42),"")</f>
        <v/>
      </c>
      <c r="Q42" s="4">
        <f>IFERROR(SUM(Z42:AA42),"")</f>
        <v/>
      </c>
      <c r="R42" s="16">
        <f>IF(ISNUMBER(J42),J42,IF(ISNUMBER(K42),-K42,""))</f>
        <v/>
      </c>
      <c r="S42">
        <f>IF(ISNUMBER(K42),K42,IF(ISNUMBER(J42),-J42,""))</f>
        <v/>
      </c>
      <c r="T42">
        <f>IF(AND(ISNUMBER(R42),ISNUMBER(R43)),VLOOKUP(ABS(R42-R43),'IMP Table'!$A$2:$C$26,3)*SIGN(R42-R43),"")</f>
        <v/>
      </c>
      <c r="U42">
        <f>IF(AND(ISNUMBER(R42),ISNUMBER(R44)),VLOOKUP(ABS(R42-R44),'IMP Table'!$A$2:$C$26,3)*SIGN(R42-R44),"")</f>
        <v/>
      </c>
      <c r="V42">
        <f>IF(AND(ISNUMBER(S42),ISNUMBER(S43)),VLOOKUP(ABS(S42-S43),'IMP Table'!$A$2:$C$26,3)*SIGN(S42-S43),"")</f>
        <v/>
      </c>
      <c r="W42">
        <f>IF(AND(ISNUMBER(S42),ISNUMBER(S44)),VLOOKUP(ABS(S42-S44),'IMP Table'!$A$2:$C$26,3)*SIGN(S42-S44),"")</f>
        <v/>
      </c>
      <c r="X42">
        <f>IF(AND(ISNUMBER(R42),ISNUMBER(R43)),IF(R42&gt;R43,1,IF(R42=R43,0.5,0)),0.5)</f>
        <v/>
      </c>
      <c r="Y42">
        <f>IF(AND(ISNUMBER(R42),ISNUMBER(R44)),IF(R42&gt;R44,1,IF(R42=R44,0.5,0)),0.5)</f>
        <v/>
      </c>
      <c r="Z42">
        <f>IF(AND(ISNUMBER(S42),ISNUMBER(S43)),IF(S42&gt;S43,1,IF(S42=S43,0.5,0)),0.5)</f>
        <v/>
      </c>
      <c r="AA42">
        <f>IF(AND(ISNUMBER(S42),ISNUMBER(S44)),IF(S42&gt;S44,1,IF(S42=S44,0.5,0)),0.5)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4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5">
        <f>IFERROR(AVERAGE(T43:U43),"")</f>
        <v/>
      </c>
      <c r="M43" s="4">
        <f>IFERROR(AVERAGE(V43:W43),"")</f>
        <v/>
      </c>
      <c r="N43" s="5">
        <f>P43/2</f>
        <v/>
      </c>
      <c r="O43" s="5">
        <f>Q43/2</f>
        <v/>
      </c>
      <c r="P43" s="4">
        <f>IFERROR(SUM(X43:Y43),"")</f>
        <v/>
      </c>
      <c r="Q43" s="4">
        <f>IFERROR(SUM(Z43:AA43),"")</f>
        <v/>
      </c>
      <c r="R43" s="16">
        <f>IF(ISNUMBER(J43),J43,IF(ISNUMBER(K43),-K43,""))</f>
        <v/>
      </c>
      <c r="S43">
        <f>IF(ISNUMBER(K43),K43,IF(ISNUMBER(J43),-J43,""))</f>
        <v/>
      </c>
      <c r="T43">
        <f>IF(AND(ISNUMBER(R43),ISNUMBER(R42)),VLOOKUP(ABS(R43-R42),'IMP Table'!$A$2:$C$26,3)*SIGN(R43-R42),"")</f>
        <v/>
      </c>
      <c r="U43">
        <f>IF(AND(ISNUMBER(R43),ISNUMBER(R44)),VLOOKUP(ABS(R43-R44),'IMP Table'!$A$2:$C$26,3)*SIGN(R43-R44),"")</f>
        <v/>
      </c>
      <c r="V43">
        <f>IF(AND(ISNUMBER(S43),ISNUMBER(S42)),VLOOKUP(ABS(S43-S42),'IMP Table'!$A$2:$C$26,3)*SIGN(S43-S42),"")</f>
        <v/>
      </c>
      <c r="W43">
        <f>IF(AND(ISNUMBER(S43),ISNUMBER(S44)),VLOOKUP(ABS(S43-S44),'IMP Table'!$A$2:$C$26,3)*SIGN(S43-S44),"")</f>
        <v/>
      </c>
      <c r="X43">
        <f>IF(AND(ISNUMBER(R43),ISNUMBER(R42)),IF(R43&gt;R42,1,IF(R43=R42,0.5,0)),0.5)</f>
        <v/>
      </c>
      <c r="Y43">
        <f>IF(AND(ISNUMBER(R43),ISNUMBER(R44)),IF(R43&gt;R44,1,IF(R43=R44,0.5,0)),0.5)</f>
        <v/>
      </c>
      <c r="Z43">
        <f>IF(AND(ISNUMBER(S43),ISNUMBER(S42)),IF(S43&gt;S42,1,IF(S43=S42,0.5,0)),0.5)</f>
        <v/>
      </c>
      <c r="AA43">
        <f>IF(AND(ISNUMBER(S43),ISNUMBER(S44)),IF(S43&gt;S44,1,IF(S43=S44,0.5,0)),0.5)</f>
        <v/>
      </c>
    </row>
    <row r="44">
      <c r="A44" s="13" t="n"/>
      <c r="B44" s="13">
        <f>'By Round'!A39</f>
        <v/>
      </c>
      <c r="C44" s="13">
        <f>'By Round'!B45</f>
        <v/>
      </c>
      <c r="D44" s="13">
        <f>'By Round'!C45</f>
        <v/>
      </c>
      <c r="E44" s="13">
        <f>'By Round'!D45</f>
        <v/>
      </c>
      <c r="F44" s="17" t="inlineStr">
        <is>
          <t>None</t>
        </is>
      </c>
      <c r="G44" s="13">
        <f>IF(ISBLANK('By Round'!G45),"",'By Round'!G45)</f>
        <v/>
      </c>
      <c r="H44" s="13">
        <f>IF(ISBLANK('By Round'!H45),"",'By Round'!H45)</f>
        <v/>
      </c>
      <c r="I44" s="13">
        <f>IF(ISBLANK('By Round'!I45),"",'By Round'!I45)</f>
        <v/>
      </c>
      <c r="J44" s="13">
        <f>IF(ISBLANK('By Round'!J45),"",'By Round'!J45)</f>
        <v/>
      </c>
      <c r="K44" s="13">
        <f>IF(ISBLANK('By Round'!K45),"",'By Round'!K45)</f>
        <v/>
      </c>
      <c r="L44" s="18">
        <f>IFERROR(AVERAGE(T44:U44),"")</f>
        <v/>
      </c>
      <c r="M44" s="19">
        <f>IFERROR(AVERAGE(V44:W44),"")</f>
        <v/>
      </c>
      <c r="N44" s="20">
        <f>P44/2</f>
        <v/>
      </c>
      <c r="O44" s="20">
        <f>Q44/2</f>
        <v/>
      </c>
      <c r="P44" s="19">
        <f>IFERROR(SUM(X44:Y44),"")</f>
        <v/>
      </c>
      <c r="Q44" s="19">
        <f>IFERROR(SUM(Z44:AA44),"")</f>
        <v/>
      </c>
      <c r="R44" s="21">
        <f>IF(ISNUMBER(J44),J44,IF(ISNUMBER(K44),-K44,""))</f>
        <v/>
      </c>
      <c r="S44" s="13">
        <f>IF(ISNUMBER(K44),K44,IF(ISNUMBER(J44),-J44,""))</f>
        <v/>
      </c>
      <c r="T44" s="13">
        <f>IF(AND(ISNUMBER(R44),ISNUMBER(R42)),VLOOKUP(ABS(R44-R42),'IMP Table'!$A$2:$C$26,3)*SIGN(R44-R42),"")</f>
        <v/>
      </c>
      <c r="U44" s="13">
        <f>IF(AND(ISNUMBER(R44),ISNUMBER(R43)),VLOOKUP(ABS(R44-R43),'IMP Table'!$A$2:$C$26,3)*SIGN(R44-R43),"")</f>
        <v/>
      </c>
      <c r="V44" s="13">
        <f>IF(AND(ISNUMBER(S44),ISNUMBER(S42)),VLOOKUP(ABS(S44-S42),'IMP Table'!$A$2:$C$26,3)*SIGN(S44-S42),"")</f>
        <v/>
      </c>
      <c r="W44" s="13">
        <f>IF(AND(ISNUMBER(S44),ISNUMBER(S43)),VLOOKUP(ABS(S44-S43),'IMP Table'!$A$2:$C$26,3)*SIGN(S44-S43),"")</f>
        <v/>
      </c>
      <c r="X44" s="13">
        <f>IF(AND(ISNUMBER(R44),ISNUMBER(R42)),IF(R44&gt;R42,1,IF(R44=R42,0.5,0)),0.5)</f>
        <v/>
      </c>
      <c r="Y44" s="13">
        <f>IF(AND(ISNUMBER(R44),ISNUMBER(R43)),IF(R44&gt;R43,1,IF(R44=R43,0.5,0)),0.5)</f>
        <v/>
      </c>
      <c r="Z44" s="13">
        <f>IF(AND(ISNUMBER(S44),ISNUMBER(S42)),IF(S44&gt;S42,1,IF(S44=S42,0.5,0)),0.5)</f>
        <v/>
      </c>
      <c r="AA44" s="13">
        <f>IF(AND(ISNUMBER(S44),ISNUMBER(S43)),IF(S44&gt;S43,1,IF(S44=S43,0.5,0)),0.5)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4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5">
        <f>IFERROR(AVERAGE(T45:U45),"")</f>
        <v/>
      </c>
      <c r="M45" s="4">
        <f>IFERROR(AVERAGE(V45:W45),"")</f>
        <v/>
      </c>
      <c r="N45" s="5">
        <f>P45/2</f>
        <v/>
      </c>
      <c r="O45" s="5">
        <f>Q45/2</f>
        <v/>
      </c>
      <c r="P45" s="4">
        <f>IFERROR(SUM(X45:Y45),"")</f>
        <v/>
      </c>
      <c r="Q45" s="4">
        <f>IFERROR(SUM(Z45:AA45),"")</f>
        <v/>
      </c>
      <c r="R45" s="16">
        <f>IF(ISNUMBER(J45),J45,IF(ISNUMBER(K45),-K45,""))</f>
        <v/>
      </c>
      <c r="S45">
        <f>IF(ISNUMBER(K45),K45,IF(ISNUMBER(J45),-J45,""))</f>
        <v/>
      </c>
      <c r="T45">
        <f>IF(AND(ISNUMBER(R45),ISNUMBER(R46)),VLOOKUP(ABS(R45-R46),'IMP Table'!$A$2:$C$26,3)*SIGN(R45-R46),"")</f>
        <v/>
      </c>
      <c r="U45">
        <f>IF(AND(ISNUMBER(R45),ISNUMBER(R47)),VLOOKUP(ABS(R45-R47),'IMP Table'!$A$2:$C$26,3)*SIGN(R45-R47),"")</f>
        <v/>
      </c>
      <c r="V45">
        <f>IF(AND(ISNUMBER(S45),ISNUMBER(S46)),VLOOKUP(ABS(S45-S46),'IMP Table'!$A$2:$C$26,3)*SIGN(S45-S46),"")</f>
        <v/>
      </c>
      <c r="W45">
        <f>IF(AND(ISNUMBER(S45),ISNUMBER(S47)),VLOOKUP(ABS(S45-S47),'IMP Table'!$A$2:$C$26,3)*SIGN(S45-S47),"")</f>
        <v/>
      </c>
      <c r="X45">
        <f>IF(AND(ISNUMBER(R45),ISNUMBER(R46)),IF(R45&gt;R46,1,IF(R45=R46,0.5,0)),0.5)</f>
        <v/>
      </c>
      <c r="Y45">
        <f>IF(AND(ISNUMBER(R45),ISNUMBER(R47)),IF(R45&gt;R47,1,IF(R45=R47,0.5,0)),0.5)</f>
        <v/>
      </c>
      <c r="Z45">
        <f>IF(AND(ISNUMBER(S45),ISNUMBER(S46)),IF(S45&gt;S46,1,IF(S45=S46,0.5,0)),0.5)</f>
        <v/>
      </c>
      <c r="AA45">
        <f>IF(AND(ISNUMBER(S45),ISNUMBER(S47)),IF(S45&gt;S47,1,IF(S45=S47,0.5,0)),0.5)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4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5">
        <f>IFERROR(AVERAGE(T46:U46),"")</f>
        <v/>
      </c>
      <c r="M46" s="4">
        <f>IFERROR(AVERAGE(V46:W46),"")</f>
        <v/>
      </c>
      <c r="N46" s="5">
        <f>P46/2</f>
        <v/>
      </c>
      <c r="O46" s="5">
        <f>Q46/2</f>
        <v/>
      </c>
      <c r="P46" s="4">
        <f>IFERROR(SUM(X46:Y46),"")</f>
        <v/>
      </c>
      <c r="Q46" s="4">
        <f>IFERROR(SUM(Z46:AA46),"")</f>
        <v/>
      </c>
      <c r="R46" s="16">
        <f>IF(ISNUMBER(J46),J46,IF(ISNUMBER(K46),-K46,""))</f>
        <v/>
      </c>
      <c r="S46">
        <f>IF(ISNUMBER(K46),K46,IF(ISNUMBER(J46),-J46,""))</f>
        <v/>
      </c>
      <c r="T46">
        <f>IF(AND(ISNUMBER(R46),ISNUMBER(R45)),VLOOKUP(ABS(R46-R45),'IMP Table'!$A$2:$C$26,3)*SIGN(R46-R45),"")</f>
        <v/>
      </c>
      <c r="U46">
        <f>IF(AND(ISNUMBER(R46),ISNUMBER(R47)),VLOOKUP(ABS(R46-R47),'IMP Table'!$A$2:$C$26,3)*SIGN(R46-R47),"")</f>
        <v/>
      </c>
      <c r="V46">
        <f>IF(AND(ISNUMBER(S46),ISNUMBER(S45)),VLOOKUP(ABS(S46-S45),'IMP Table'!$A$2:$C$26,3)*SIGN(S46-S45),"")</f>
        <v/>
      </c>
      <c r="W46">
        <f>IF(AND(ISNUMBER(S46),ISNUMBER(S47)),VLOOKUP(ABS(S46-S47),'IMP Table'!$A$2:$C$26,3)*SIGN(S46-S47),"")</f>
        <v/>
      </c>
      <c r="X46">
        <f>IF(AND(ISNUMBER(R46),ISNUMBER(R45)),IF(R46&gt;R45,1,IF(R46=R45,0.5,0)),0.5)</f>
        <v/>
      </c>
      <c r="Y46">
        <f>IF(AND(ISNUMBER(R46),ISNUMBER(R47)),IF(R46&gt;R47,1,IF(R46=R47,0.5,0)),0.5)</f>
        <v/>
      </c>
      <c r="Z46">
        <f>IF(AND(ISNUMBER(S46),ISNUMBER(S45)),IF(S46&gt;S45,1,IF(S46=S45,0.5,0)),0.5)</f>
        <v/>
      </c>
      <c r="AA46">
        <f>IF(AND(ISNUMBER(S46),ISNUMBER(S47)),IF(S46&gt;S47,1,IF(S46=S47,0.5,0)),0.5)</f>
        <v/>
      </c>
    </row>
    <row r="47">
      <c r="B47">
        <f>'By Round'!A39</f>
        <v/>
      </c>
      <c r="C47">
        <f>'By Round'!B45</f>
        <v/>
      </c>
      <c r="D47">
        <f>'By Round'!C45</f>
        <v/>
      </c>
      <c r="E47">
        <f>'By Round'!D45</f>
        <v/>
      </c>
      <c r="F47" s="14" t="inlineStr">
        <is>
          <t>NS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5">
        <f>IFERROR(AVERAGE(T47:U47),"")</f>
        <v/>
      </c>
      <c r="M47" s="4">
        <f>IFERROR(AVERAGE(V47:W47),"")</f>
        <v/>
      </c>
      <c r="N47" s="5">
        <f>P47/2</f>
        <v/>
      </c>
      <c r="O47" s="5">
        <f>Q47/2</f>
        <v/>
      </c>
      <c r="P47" s="4">
        <f>IFERROR(SUM(X47:Y47),"")</f>
        <v/>
      </c>
      <c r="Q47" s="4">
        <f>IFERROR(SUM(Z47:AA47),"")</f>
        <v/>
      </c>
      <c r="R47" s="16">
        <f>IF(ISNUMBER(J47),J47,IF(ISNUMBER(K47),-K47,""))</f>
        <v/>
      </c>
      <c r="S47">
        <f>IF(ISNUMBER(K47),K47,IF(ISNUMBER(J47),-J47,""))</f>
        <v/>
      </c>
      <c r="T47">
        <f>IF(AND(ISNUMBER(R47),ISNUMBER(R45)),VLOOKUP(ABS(R47-R45),'IMP Table'!$A$2:$C$26,3)*SIGN(R47-R45),"")</f>
        <v/>
      </c>
      <c r="U47">
        <f>IF(AND(ISNUMBER(R47),ISNUMBER(R46)),VLOOKUP(ABS(R47-R46),'IMP Table'!$A$2:$C$26,3)*SIGN(R47-R46),"")</f>
        <v/>
      </c>
      <c r="V47">
        <f>IF(AND(ISNUMBER(S47),ISNUMBER(S45)),VLOOKUP(ABS(S47-S45),'IMP Table'!$A$2:$C$26,3)*SIGN(S47-S45),"")</f>
        <v/>
      </c>
      <c r="W47">
        <f>IF(AND(ISNUMBER(S47),ISNUMBER(S46)),VLOOKUP(ABS(S47-S46),'IMP Table'!$A$2:$C$26,3)*SIGN(S47-S46),"")</f>
        <v/>
      </c>
      <c r="X47">
        <f>IF(AND(ISNUMBER(R47),ISNUMBER(R45)),IF(R47&gt;R45,1,IF(R47=R45,0.5,0)),0.5)</f>
        <v/>
      </c>
      <c r="Y47">
        <f>IF(AND(ISNUMBER(R47),ISNUMBER(R46)),IF(R47&gt;R46,1,IF(R47=R46,0.5,0)),0.5)</f>
        <v/>
      </c>
      <c r="Z47">
        <f>IF(AND(ISNUMBER(S47),ISNUMBER(S45)),IF(S47&gt;S45,1,IF(S47=S45,0.5,0)),0.5)</f>
        <v/>
      </c>
      <c r="AA47">
        <f>IF(AND(ISNUMBER(S47),ISNUMBER(S46)),IF(S47&gt;S46,1,IF(S47=S46,0.5,0)),0.5)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4" t="n">
        <v>1</v>
      </c>
      <c r="B3" s="14" t="n">
        <v>1</v>
      </c>
      <c r="C3" s="14" t="n">
        <v>6</v>
      </c>
      <c r="D3" s="14" t="n">
        <v>1</v>
      </c>
      <c r="E3" s="14" t="n">
        <v>1</v>
      </c>
      <c r="F3" s="14" t="inlineStr">
        <is>
          <t>None</t>
        </is>
      </c>
    </row>
    <row r="4">
      <c r="B4" s="14" t="n"/>
      <c r="C4" s="14" t="n"/>
      <c r="D4" s="14" t="n"/>
      <c r="E4" s="14" t="n">
        <v>2</v>
      </c>
      <c r="F4" s="14" t="inlineStr">
        <is>
          <t>NS</t>
        </is>
      </c>
    </row>
    <row r="5">
      <c r="B5" s="22" t="n"/>
      <c r="C5" s="22" t="n"/>
      <c r="D5" s="22" t="n"/>
      <c r="E5" s="22" t="n">
        <v>3</v>
      </c>
      <c r="F5" s="22" t="inlineStr">
        <is>
          <t>EW</t>
        </is>
      </c>
      <c r="G5" s="23" t="n"/>
      <c r="H5" s="23" t="n"/>
      <c r="I5" s="23" t="n"/>
      <c r="J5" s="23" t="n"/>
      <c r="K5" s="23" t="n"/>
    </row>
    <row r="6">
      <c r="B6" s="14" t="n">
        <v>2</v>
      </c>
      <c r="C6" s="14" t="n">
        <v>3</v>
      </c>
      <c r="D6" s="14" t="n">
        <v>4</v>
      </c>
      <c r="E6" s="14" t="n">
        <v>4</v>
      </c>
      <c r="F6" s="14" t="inlineStr">
        <is>
          <t>Both</t>
        </is>
      </c>
    </row>
    <row r="7">
      <c r="B7" s="14" t="n"/>
      <c r="C7" s="14" t="n"/>
      <c r="D7" s="14" t="n"/>
      <c r="E7" s="14" t="n">
        <v>5</v>
      </c>
      <c r="F7" s="14" t="inlineStr">
        <is>
          <t>NS</t>
        </is>
      </c>
    </row>
    <row r="8">
      <c r="B8" s="22" t="n"/>
      <c r="C8" s="22" t="n"/>
      <c r="D8" s="22" t="n"/>
      <c r="E8" s="22" t="n">
        <v>6</v>
      </c>
      <c r="F8" s="22" t="inlineStr">
        <is>
          <t>EW</t>
        </is>
      </c>
      <c r="G8" s="23" t="n"/>
      <c r="H8" s="23" t="n"/>
      <c r="I8" s="23" t="n"/>
      <c r="J8" s="23" t="n"/>
      <c r="K8" s="23" t="n"/>
    </row>
    <row r="9">
      <c r="B9" s="14" t="n">
        <v>3</v>
      </c>
      <c r="C9" s="14" t="n">
        <v>5</v>
      </c>
      <c r="D9" s="14" t="n">
        <v>2</v>
      </c>
      <c r="E9" s="14" t="n">
        <v>10</v>
      </c>
      <c r="F9" s="14" t="inlineStr">
        <is>
          <t>Both</t>
        </is>
      </c>
    </row>
    <row r="10">
      <c r="B10" s="14" t="n"/>
      <c r="C10" s="14" t="n"/>
      <c r="D10" s="14" t="n"/>
      <c r="E10" s="14" t="n">
        <v>11</v>
      </c>
      <c r="F10" s="14" t="inlineStr">
        <is>
          <t>None</t>
        </is>
      </c>
    </row>
    <row r="11">
      <c r="A11" s="23" t="n"/>
      <c r="B11" s="22" t="n"/>
      <c r="C11" s="22" t="n"/>
      <c r="D11" s="22" t="n"/>
      <c r="E11" s="22" t="n">
        <v>12</v>
      </c>
      <c r="F11" s="22" t="inlineStr">
        <is>
          <t>NS</t>
        </is>
      </c>
      <c r="G11" s="23" t="n"/>
      <c r="H11" s="23" t="n"/>
      <c r="I11" s="23" t="n"/>
      <c r="J11" s="23" t="n"/>
      <c r="K11" s="23" t="n"/>
    </row>
    <row r="12">
      <c r="A12" s="14" t="n">
        <v>2</v>
      </c>
      <c r="B12" s="14" t="n">
        <v>1</v>
      </c>
      <c r="C12" s="14" t="n">
        <v>6</v>
      </c>
      <c r="D12" s="14" t="n">
        <v>2</v>
      </c>
      <c r="E12" s="14" t="n">
        <v>4</v>
      </c>
      <c r="F12" s="14" t="inlineStr">
        <is>
          <t>Both</t>
        </is>
      </c>
    </row>
    <row r="13">
      <c r="B13" s="14" t="n"/>
      <c r="C13" s="14" t="n"/>
      <c r="D13" s="14" t="n"/>
      <c r="E13" s="14" t="n">
        <v>5</v>
      </c>
      <c r="F13" s="14" t="inlineStr">
        <is>
          <t>NS</t>
        </is>
      </c>
    </row>
    <row r="14">
      <c r="B14" s="22" t="n"/>
      <c r="C14" s="22" t="n"/>
      <c r="D14" s="22" t="n"/>
      <c r="E14" s="22" t="n">
        <v>6</v>
      </c>
      <c r="F14" s="22" t="inlineStr">
        <is>
          <t>EW</t>
        </is>
      </c>
      <c r="G14" s="23" t="n"/>
      <c r="H14" s="23" t="n"/>
      <c r="I14" s="23" t="n"/>
      <c r="J14" s="23" t="n"/>
      <c r="K14" s="23" t="n"/>
    </row>
    <row r="15">
      <c r="B15" s="14" t="n">
        <v>2</v>
      </c>
      <c r="C15" s="14" t="n">
        <v>4</v>
      </c>
      <c r="D15" s="14" t="n">
        <v>5</v>
      </c>
      <c r="E15" s="14" t="n">
        <v>7</v>
      </c>
      <c r="F15" s="14" t="inlineStr">
        <is>
          <t>Both</t>
        </is>
      </c>
    </row>
    <row r="16">
      <c r="B16" s="14" t="n"/>
      <c r="C16" s="14" t="n"/>
      <c r="D16" s="14" t="n"/>
      <c r="E16" s="14" t="n">
        <v>8</v>
      </c>
      <c r="F16" s="14" t="inlineStr">
        <is>
          <t>None</t>
        </is>
      </c>
    </row>
    <row r="17">
      <c r="B17" s="22" t="n"/>
      <c r="C17" s="22" t="n"/>
      <c r="D17" s="22" t="n"/>
      <c r="E17" s="22" t="n">
        <v>9</v>
      </c>
      <c r="F17" s="22" t="inlineStr">
        <is>
          <t>EW</t>
        </is>
      </c>
      <c r="G17" s="23" t="n"/>
      <c r="H17" s="23" t="n"/>
      <c r="I17" s="23" t="n"/>
      <c r="J17" s="23" t="n"/>
      <c r="K17" s="23" t="n"/>
    </row>
    <row r="18">
      <c r="B18" s="14" t="n">
        <v>3</v>
      </c>
      <c r="C18" s="14" t="n">
        <v>1</v>
      </c>
      <c r="D18" s="14" t="n">
        <v>3</v>
      </c>
      <c r="E18" s="14" t="n">
        <v>10</v>
      </c>
      <c r="F18" s="14" t="inlineStr">
        <is>
          <t>Both</t>
        </is>
      </c>
    </row>
    <row r="19">
      <c r="B19" s="14" t="n"/>
      <c r="C19" s="14" t="n"/>
      <c r="D19" s="14" t="n"/>
      <c r="E19" s="14" t="n">
        <v>11</v>
      </c>
      <c r="F19" s="14" t="inlineStr">
        <is>
          <t>None</t>
        </is>
      </c>
    </row>
    <row r="20">
      <c r="A20" s="23" t="n"/>
      <c r="B20" s="22" t="n"/>
      <c r="C20" s="22" t="n"/>
      <c r="D20" s="22" t="n"/>
      <c r="E20" s="22" t="n">
        <v>12</v>
      </c>
      <c r="F20" s="22" t="inlineStr">
        <is>
          <t>NS</t>
        </is>
      </c>
      <c r="G20" s="23" t="n"/>
      <c r="H20" s="23" t="n"/>
      <c r="I20" s="23" t="n"/>
      <c r="J20" s="23" t="n"/>
      <c r="K20" s="23" t="n"/>
    </row>
    <row r="21">
      <c r="A21" s="14" t="n">
        <v>3</v>
      </c>
      <c r="B21" s="14" t="n">
        <v>1</v>
      </c>
      <c r="C21" s="14" t="n">
        <v>6</v>
      </c>
      <c r="D21" s="14" t="n">
        <v>3</v>
      </c>
      <c r="E21" s="14" t="n">
        <v>7</v>
      </c>
      <c r="F21" s="14" t="inlineStr">
        <is>
          <t>Both</t>
        </is>
      </c>
    </row>
    <row r="22">
      <c r="B22" s="14" t="n"/>
      <c r="C22" s="14" t="n"/>
      <c r="D22" s="14" t="n"/>
      <c r="E22" s="14" t="n">
        <v>8</v>
      </c>
      <c r="F22" s="14" t="inlineStr">
        <is>
          <t>None</t>
        </is>
      </c>
    </row>
    <row r="23">
      <c r="B23" s="22" t="n"/>
      <c r="C23" s="22" t="n"/>
      <c r="D23" s="22" t="n"/>
      <c r="E23" s="22" t="n">
        <v>9</v>
      </c>
      <c r="F23" s="22" t="inlineStr">
        <is>
          <t>EW</t>
        </is>
      </c>
      <c r="G23" s="23" t="n"/>
      <c r="H23" s="23" t="n"/>
      <c r="I23" s="23" t="n"/>
      <c r="J23" s="23" t="n"/>
      <c r="K23" s="23" t="n"/>
    </row>
    <row r="24">
      <c r="B24" s="14" t="n">
        <v>2</v>
      </c>
      <c r="C24" s="14" t="n">
        <v>5</v>
      </c>
      <c r="D24" s="14" t="n">
        <v>1</v>
      </c>
      <c r="E24" s="14" t="n">
        <v>4</v>
      </c>
      <c r="F24" s="14" t="inlineStr">
        <is>
          <t>Both</t>
        </is>
      </c>
    </row>
    <row r="25">
      <c r="B25" s="14" t="n"/>
      <c r="C25" s="14" t="n"/>
      <c r="D25" s="14" t="n"/>
      <c r="E25" s="14" t="n">
        <v>5</v>
      </c>
      <c r="F25" s="14" t="inlineStr">
        <is>
          <t>NS</t>
        </is>
      </c>
    </row>
    <row r="26">
      <c r="B26" s="22" t="n"/>
      <c r="C26" s="22" t="n"/>
      <c r="D26" s="22" t="n"/>
      <c r="E26" s="22" t="n">
        <v>6</v>
      </c>
      <c r="F26" s="22" t="inlineStr">
        <is>
          <t>EW</t>
        </is>
      </c>
      <c r="G26" s="23" t="n"/>
      <c r="H26" s="23" t="n"/>
      <c r="I26" s="23" t="n"/>
      <c r="J26" s="23" t="n"/>
      <c r="K26" s="23" t="n"/>
    </row>
    <row r="27">
      <c r="B27" s="14" t="n">
        <v>3</v>
      </c>
      <c r="C27" s="14" t="n">
        <v>2</v>
      </c>
      <c r="D27" s="14" t="n">
        <v>4</v>
      </c>
      <c r="E27" s="14" t="n">
        <v>1</v>
      </c>
      <c r="F27" s="14" t="inlineStr">
        <is>
          <t>None</t>
        </is>
      </c>
    </row>
    <row r="28">
      <c r="B28" s="14" t="n"/>
      <c r="C28" s="14" t="n"/>
      <c r="D28" s="14" t="n"/>
      <c r="E28" s="14" t="n">
        <v>2</v>
      </c>
      <c r="F28" s="14" t="inlineStr">
        <is>
          <t>NS</t>
        </is>
      </c>
    </row>
    <row r="29">
      <c r="A29" s="23" t="n"/>
      <c r="B29" s="22" t="n"/>
      <c r="C29" s="22" t="n"/>
      <c r="D29" s="22" t="n"/>
      <c r="E29" s="22" t="n">
        <v>3</v>
      </c>
      <c r="F29" s="22" t="inlineStr">
        <is>
          <t>EW</t>
        </is>
      </c>
      <c r="G29" s="23" t="n"/>
      <c r="H29" s="23" t="n"/>
      <c r="I29" s="23" t="n"/>
      <c r="J29" s="23" t="n"/>
      <c r="K29" s="23" t="n"/>
    </row>
    <row r="30">
      <c r="A30" s="14" t="n">
        <v>4</v>
      </c>
      <c r="B30" s="14" t="n">
        <v>1</v>
      </c>
      <c r="C30" s="14" t="n">
        <v>6</v>
      </c>
      <c r="D30" s="14" t="n">
        <v>4</v>
      </c>
      <c r="E30" s="14" t="n">
        <v>10</v>
      </c>
      <c r="F30" s="14" t="inlineStr">
        <is>
          <t>Both</t>
        </is>
      </c>
    </row>
    <row r="31">
      <c r="B31" s="14" t="n"/>
      <c r="C31" s="14" t="n"/>
      <c r="D31" s="14" t="n"/>
      <c r="E31" s="14" t="n">
        <v>11</v>
      </c>
      <c r="F31" s="14" t="inlineStr">
        <is>
          <t>None</t>
        </is>
      </c>
    </row>
    <row r="32">
      <c r="B32" s="22" t="n"/>
      <c r="C32" s="22" t="n"/>
      <c r="D32" s="22" t="n"/>
      <c r="E32" s="22" t="n">
        <v>12</v>
      </c>
      <c r="F32" s="22" t="inlineStr">
        <is>
          <t>NS</t>
        </is>
      </c>
      <c r="G32" s="23" t="n"/>
      <c r="H32" s="23" t="n"/>
      <c r="I32" s="23" t="n"/>
      <c r="J32" s="23" t="n"/>
      <c r="K32" s="23" t="n"/>
    </row>
    <row r="33">
      <c r="B33" s="14" t="n">
        <v>2</v>
      </c>
      <c r="C33" s="14" t="n">
        <v>1</v>
      </c>
      <c r="D33" s="14" t="n">
        <v>2</v>
      </c>
      <c r="E33" s="14" t="n">
        <v>7</v>
      </c>
      <c r="F33" s="14" t="inlineStr">
        <is>
          <t>Both</t>
        </is>
      </c>
    </row>
    <row r="34">
      <c r="B34" s="14" t="n"/>
      <c r="C34" s="14" t="n"/>
      <c r="D34" s="14" t="n"/>
      <c r="E34" s="14" t="n">
        <v>8</v>
      </c>
      <c r="F34" s="14" t="inlineStr">
        <is>
          <t>None</t>
        </is>
      </c>
    </row>
    <row r="35">
      <c r="B35" s="22" t="n"/>
      <c r="C35" s="22" t="n"/>
      <c r="D35" s="22" t="n"/>
      <c r="E35" s="22" t="n">
        <v>9</v>
      </c>
      <c r="F35" s="22" t="inlineStr">
        <is>
          <t>EW</t>
        </is>
      </c>
      <c r="G35" s="23" t="n"/>
      <c r="H35" s="23" t="n"/>
      <c r="I35" s="23" t="n"/>
      <c r="J35" s="23" t="n"/>
      <c r="K35" s="23" t="n"/>
    </row>
    <row r="36">
      <c r="B36" s="14" t="n">
        <v>3</v>
      </c>
      <c r="C36" s="14" t="n">
        <v>3</v>
      </c>
      <c r="D36" s="14" t="n">
        <v>5</v>
      </c>
      <c r="E36" s="14" t="n">
        <v>1</v>
      </c>
      <c r="F36" s="14" t="inlineStr">
        <is>
          <t>None</t>
        </is>
      </c>
    </row>
    <row r="37">
      <c r="B37" s="14" t="n"/>
      <c r="C37" s="14" t="n"/>
      <c r="D37" s="14" t="n"/>
      <c r="E37" s="14" t="n">
        <v>2</v>
      </c>
      <c r="F37" s="14" t="inlineStr">
        <is>
          <t>NS</t>
        </is>
      </c>
    </row>
    <row r="38">
      <c r="A38" s="23" t="n"/>
      <c r="B38" s="22" t="n"/>
      <c r="C38" s="22" t="n"/>
      <c r="D38" s="22" t="n"/>
      <c r="E38" s="22" t="n">
        <v>3</v>
      </c>
      <c r="F38" s="22" t="inlineStr">
        <is>
          <t>EW</t>
        </is>
      </c>
      <c r="G38" s="23" t="n"/>
      <c r="H38" s="23" t="n"/>
      <c r="I38" s="23" t="n"/>
      <c r="J38" s="23" t="n"/>
      <c r="K38" s="23" t="n"/>
    </row>
    <row r="39">
      <c r="A39" s="14" t="n">
        <v>5</v>
      </c>
      <c r="B39" s="14" t="n">
        <v>1</v>
      </c>
      <c r="C39" s="14" t="n">
        <v>6</v>
      </c>
      <c r="D39" s="14" t="n">
        <v>5</v>
      </c>
      <c r="E39" s="14" t="n">
        <v>13</v>
      </c>
      <c r="F39" s="14" t="inlineStr">
        <is>
          <t>Both</t>
        </is>
      </c>
    </row>
    <row r="40">
      <c r="B40" s="14" t="n"/>
      <c r="C40" s="14" t="n"/>
      <c r="D40" s="14" t="n"/>
      <c r="E40" s="14" t="n">
        <v>14</v>
      </c>
      <c r="F40" s="14" t="inlineStr">
        <is>
          <t>None</t>
        </is>
      </c>
    </row>
    <row r="41">
      <c r="B41" s="22" t="n"/>
      <c r="C41" s="22" t="n"/>
      <c r="D41" s="22" t="n"/>
      <c r="E41" s="22" t="n">
        <v>15</v>
      </c>
      <c r="F41" s="22" t="inlineStr">
        <is>
          <t>NS</t>
        </is>
      </c>
      <c r="G41" s="23" t="n"/>
      <c r="H41" s="23" t="n"/>
      <c r="I41" s="23" t="n"/>
      <c r="J41" s="23" t="n"/>
      <c r="K41" s="23" t="n"/>
    </row>
    <row r="42">
      <c r="B42" s="14" t="n">
        <v>2</v>
      </c>
      <c r="C42" s="14" t="n">
        <v>2</v>
      </c>
      <c r="D42" s="14" t="n">
        <v>3</v>
      </c>
      <c r="E42" s="14" t="n">
        <v>13</v>
      </c>
      <c r="F42" s="14" t="inlineStr">
        <is>
          <t>Both</t>
        </is>
      </c>
    </row>
    <row r="43">
      <c r="B43" s="14" t="n"/>
      <c r="C43" s="14" t="n"/>
      <c r="D43" s="14" t="n"/>
      <c r="E43" s="14" t="n">
        <v>14</v>
      </c>
      <c r="F43" s="14" t="inlineStr">
        <is>
          <t>None</t>
        </is>
      </c>
    </row>
    <row r="44">
      <c r="B44" s="22" t="n"/>
      <c r="C44" s="22" t="n"/>
      <c r="D44" s="22" t="n"/>
      <c r="E44" s="22" t="n">
        <v>15</v>
      </c>
      <c r="F44" s="22" t="inlineStr">
        <is>
          <t>NS</t>
        </is>
      </c>
      <c r="G44" s="23" t="n"/>
      <c r="H44" s="23" t="n"/>
      <c r="I44" s="23" t="n"/>
      <c r="J44" s="23" t="n"/>
      <c r="K44" s="23" t="n"/>
    </row>
    <row r="45">
      <c r="B45" s="14" t="n">
        <v>3</v>
      </c>
      <c r="C45" s="14" t="n">
        <v>4</v>
      </c>
      <c r="D45" s="14" t="n">
        <v>1</v>
      </c>
      <c r="E45" s="14" t="n">
        <v>13</v>
      </c>
      <c r="F45" s="14" t="inlineStr">
        <is>
          <t>Both</t>
        </is>
      </c>
    </row>
    <row r="46">
      <c r="B46" s="14" t="n"/>
      <c r="C46" s="14" t="n"/>
      <c r="D46" s="14" t="n"/>
      <c r="E46" s="14" t="n">
        <v>14</v>
      </c>
      <c r="F46" s="14" t="inlineStr">
        <is>
          <t>None</t>
        </is>
      </c>
    </row>
    <row r="47">
      <c r="A47" s="23" t="n"/>
      <c r="B47" s="22" t="n"/>
      <c r="C47" s="22" t="n"/>
      <c r="D47" s="22" t="n"/>
      <c r="E47" s="22" t="n">
        <v>15</v>
      </c>
      <c r="F47" s="22" t="inlineStr">
        <is>
          <t>NS</t>
        </is>
      </c>
      <c r="G47" s="23" t="n"/>
      <c r="H47" s="23" t="n"/>
      <c r="I47" s="23" t="n"/>
      <c r="J47" s="23" t="n"/>
      <c r="K47" s="23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4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5" t="n">
        <v>1</v>
      </c>
      <c r="B4" s="26" t="n"/>
      <c r="C4" s="26" t="n"/>
      <c r="D4" s="26" t="n"/>
      <c r="E4" s="26" t="n"/>
      <c r="F4" s="26" t="n"/>
      <c r="G4" s="26" t="n"/>
      <c r="H4" s="26" t="n"/>
    </row>
    <row r="5">
      <c r="A5" s="25" t="n">
        <v>2</v>
      </c>
      <c r="B5" s="26" t="n"/>
      <c r="C5" s="26" t="n"/>
      <c r="D5" s="26" t="n"/>
      <c r="E5" s="26" t="n"/>
      <c r="F5" s="26" t="n"/>
      <c r="G5" s="26" t="n"/>
      <c r="H5" s="26" t="n"/>
    </row>
    <row r="6">
      <c r="A6" s="25" t="n">
        <v>3</v>
      </c>
      <c r="B6" s="26" t="n"/>
      <c r="C6" s="26" t="n"/>
      <c r="D6" s="26" t="n"/>
      <c r="E6" s="26" t="n"/>
      <c r="F6" s="26" t="n"/>
      <c r="G6" s="26" t="n"/>
      <c r="H6" s="26" t="n"/>
    </row>
    <row r="7">
      <c r="A7" s="25" t="n">
        <v>4</v>
      </c>
      <c r="B7" s="26" t="n"/>
      <c r="C7" s="26" t="n"/>
      <c r="D7" s="26" t="n"/>
      <c r="E7" s="26" t="n"/>
      <c r="F7" s="26" t="n"/>
      <c r="G7" s="26" t="n"/>
      <c r="H7" s="26" t="n"/>
    </row>
    <row r="8">
      <c r="A8" s="25" t="n">
        <v>5</v>
      </c>
      <c r="B8" s="26" t="n"/>
      <c r="C8" s="26" t="n"/>
      <c r="D8" s="26" t="n"/>
      <c r="E8" s="26" t="n"/>
      <c r="F8" s="26" t="n"/>
      <c r="G8" s="26" t="n"/>
      <c r="H8" s="26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7" t="n">
        <v>70</v>
      </c>
      <c r="D3" s="27" t="n">
        <v>140</v>
      </c>
      <c r="E3" s="27" t="n">
        <v>230</v>
      </c>
      <c r="F3" s="27" t="n">
        <v>70</v>
      </c>
      <c r="G3" s="27" t="n">
        <v>140</v>
      </c>
      <c r="H3" s="2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7" t="n">
        <v>90</v>
      </c>
      <c r="D4" s="27" t="n">
        <v>240</v>
      </c>
      <c r="E4" s="27" t="n">
        <v>430</v>
      </c>
      <c r="F4" s="27" t="n">
        <v>90</v>
      </c>
      <c r="G4" s="27" t="n">
        <v>340</v>
      </c>
      <c r="H4" s="2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7" t="n">
        <v>110</v>
      </c>
      <c r="D5" s="27" t="n">
        <v>340</v>
      </c>
      <c r="E5" s="27" t="n">
        <v>630</v>
      </c>
      <c r="F5" s="27" t="n">
        <v>110</v>
      </c>
      <c r="G5" s="27" t="n">
        <v>540</v>
      </c>
      <c r="H5" s="2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7" t="n">
        <v>130</v>
      </c>
      <c r="D6" s="27" t="n">
        <v>440</v>
      </c>
      <c r="E6" s="27" t="n">
        <v>830</v>
      </c>
      <c r="F6" s="27" t="n">
        <v>130</v>
      </c>
      <c r="G6" s="27" t="n">
        <v>740</v>
      </c>
      <c r="H6" s="2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7" t="n">
        <v>150</v>
      </c>
      <c r="D7" s="27" t="n">
        <v>540</v>
      </c>
      <c r="E7" s="27" t="n">
        <v>1030</v>
      </c>
      <c r="F7" s="27" t="n">
        <v>150</v>
      </c>
      <c r="G7" s="27" t="n">
        <v>940</v>
      </c>
      <c r="H7" s="2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7" t="n">
        <v>170</v>
      </c>
      <c r="D8" s="27" t="n">
        <v>640</v>
      </c>
      <c r="E8" s="27" t="n">
        <v>1230</v>
      </c>
      <c r="F8" s="27" t="n">
        <v>170</v>
      </c>
      <c r="G8" s="27" t="n">
        <v>1140</v>
      </c>
      <c r="H8" s="2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7" t="n">
        <v>190</v>
      </c>
      <c r="D9" s="27" t="n">
        <v>740</v>
      </c>
      <c r="E9" s="27" t="n">
        <v>1430</v>
      </c>
      <c r="F9" s="27" t="n">
        <v>190</v>
      </c>
      <c r="G9" s="27" t="n">
        <v>1340</v>
      </c>
      <c r="H9" s="2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7" t="n">
        <v>80</v>
      </c>
      <c r="D10" s="27" t="n">
        <v>160</v>
      </c>
      <c r="E10" s="27" t="n">
        <v>520</v>
      </c>
      <c r="F10" s="27" t="n">
        <v>80</v>
      </c>
      <c r="G10" s="27" t="n">
        <v>160</v>
      </c>
      <c r="H10" s="2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7" t="n">
        <v>110</v>
      </c>
      <c r="D11" s="27" t="n">
        <v>260</v>
      </c>
      <c r="E11" s="27" t="n">
        <v>720</v>
      </c>
      <c r="F11" s="27" t="n">
        <v>110</v>
      </c>
      <c r="G11" s="27" t="n">
        <v>360</v>
      </c>
      <c r="H11" s="2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7" t="n">
        <v>140</v>
      </c>
      <c r="D12" s="27" t="n">
        <v>360</v>
      </c>
      <c r="E12" s="27" t="n">
        <v>920</v>
      </c>
      <c r="F12" s="27" t="n">
        <v>140</v>
      </c>
      <c r="G12" s="27" t="n">
        <v>560</v>
      </c>
      <c r="H12" s="2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7" t="n">
        <v>170</v>
      </c>
      <c r="D13" s="27" t="n">
        <v>460</v>
      </c>
      <c r="E13" s="27" t="n">
        <v>1120</v>
      </c>
      <c r="F13" s="27" t="n">
        <v>170</v>
      </c>
      <c r="G13" s="27" t="n">
        <v>760</v>
      </c>
      <c r="H13" s="2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7" t="n">
        <v>200</v>
      </c>
      <c r="D14" s="27" t="n">
        <v>560</v>
      </c>
      <c r="E14" s="27" t="n">
        <v>1320</v>
      </c>
      <c r="F14" s="27" t="n">
        <v>200</v>
      </c>
      <c r="G14" s="27" t="n">
        <v>960</v>
      </c>
      <c r="H14" s="2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7" t="n">
        <v>230</v>
      </c>
      <c r="D15" s="27" t="n">
        <v>660</v>
      </c>
      <c r="E15" s="27" t="n">
        <v>1520</v>
      </c>
      <c r="F15" s="27" t="n">
        <v>230</v>
      </c>
      <c r="G15" s="27" t="n">
        <v>1160</v>
      </c>
      <c r="H15" s="2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7" t="n">
        <v>260</v>
      </c>
      <c r="D16" s="27" t="n">
        <v>760</v>
      </c>
      <c r="E16" s="27" t="n">
        <v>1720</v>
      </c>
      <c r="F16" s="27" t="n">
        <v>260</v>
      </c>
      <c r="G16" s="27" t="n">
        <v>1360</v>
      </c>
      <c r="H16" s="27" t="n">
        <v>3120</v>
      </c>
    </row>
    <row r="17">
      <c r="A17" s="3" t="inlineStr">
        <is>
          <t>1 NT</t>
        </is>
      </c>
      <c r="B17" t="n">
        <v>1</v>
      </c>
      <c r="C17" s="27" t="n">
        <v>90</v>
      </c>
      <c r="D17" s="27" t="n">
        <v>180</v>
      </c>
      <c r="E17" s="27" t="n">
        <v>560</v>
      </c>
      <c r="F17" s="27" t="n">
        <v>90</v>
      </c>
      <c r="G17" s="27" t="n">
        <v>180</v>
      </c>
      <c r="H17" s="27" t="n">
        <v>760</v>
      </c>
    </row>
    <row r="18">
      <c r="B18" t="n">
        <v>2</v>
      </c>
      <c r="C18" s="27" t="n">
        <v>120</v>
      </c>
      <c r="D18" s="27" t="n">
        <v>280</v>
      </c>
      <c r="E18" s="27" t="n">
        <v>760</v>
      </c>
      <c r="F18" s="27" t="n">
        <v>120</v>
      </c>
      <c r="G18" s="27" t="n">
        <v>380</v>
      </c>
      <c r="H18" s="27" t="n">
        <v>1160</v>
      </c>
    </row>
    <row r="19">
      <c r="B19" t="n">
        <v>3</v>
      </c>
      <c r="C19" s="27" t="n">
        <v>150</v>
      </c>
      <c r="D19" s="27" t="n">
        <v>380</v>
      </c>
      <c r="E19" s="27" t="n">
        <v>960</v>
      </c>
      <c r="F19" s="27" t="n">
        <v>150</v>
      </c>
      <c r="G19" s="27" t="n">
        <v>580</v>
      </c>
      <c r="H19" s="27" t="n">
        <v>1560</v>
      </c>
    </row>
    <row r="20">
      <c r="B20" t="n">
        <v>4</v>
      </c>
      <c r="C20" s="27" t="n">
        <v>180</v>
      </c>
      <c r="D20" s="27" t="n">
        <v>480</v>
      </c>
      <c r="E20" s="27" t="n">
        <v>1160</v>
      </c>
      <c r="F20" s="27" t="n">
        <v>180</v>
      </c>
      <c r="G20" s="27" t="n">
        <v>780</v>
      </c>
      <c r="H20" s="27" t="n">
        <v>1960</v>
      </c>
    </row>
    <row r="21">
      <c r="B21" t="n">
        <v>5</v>
      </c>
      <c r="C21" s="27" t="n">
        <v>210</v>
      </c>
      <c r="D21" s="27" t="n">
        <v>580</v>
      </c>
      <c r="E21" s="27" t="n">
        <v>1360</v>
      </c>
      <c r="F21" s="27" t="n">
        <v>210</v>
      </c>
      <c r="G21" s="27" t="n">
        <v>980</v>
      </c>
      <c r="H21" s="27" t="n">
        <v>2360</v>
      </c>
    </row>
    <row r="22">
      <c r="B22" t="n">
        <v>6</v>
      </c>
      <c r="C22" s="27" t="n">
        <v>240</v>
      </c>
      <c r="D22" s="27" t="n">
        <v>680</v>
      </c>
      <c r="E22" s="27" t="n">
        <v>1560</v>
      </c>
      <c r="F22" s="27" t="n">
        <v>240</v>
      </c>
      <c r="G22" s="27" t="n">
        <v>1180</v>
      </c>
      <c r="H22" s="27" t="n">
        <v>2760</v>
      </c>
    </row>
    <row r="23">
      <c r="B23" t="n">
        <v>7</v>
      </c>
      <c r="C23" s="27" t="n">
        <v>270</v>
      </c>
      <c r="D23" s="27" t="n">
        <v>780</v>
      </c>
      <c r="E23" s="27" t="n">
        <v>1760</v>
      </c>
      <c r="F23" s="27" t="n">
        <v>270</v>
      </c>
      <c r="G23" s="27" t="n">
        <v>1380</v>
      </c>
      <c r="H23" s="27" t="n">
        <v>3160</v>
      </c>
    </row>
    <row r="24">
      <c r="A24" s="3" t="inlineStr">
        <is>
          <t>2 D/C</t>
        </is>
      </c>
      <c r="B24" t="n">
        <v>1</v>
      </c>
      <c r="C24" s="27" t="n">
        <v>90</v>
      </c>
      <c r="D24" s="27" t="n">
        <v>180</v>
      </c>
      <c r="E24" s="27" t="n">
        <v>560</v>
      </c>
      <c r="F24" s="27" t="n">
        <v>90</v>
      </c>
      <c r="G24" s="27" t="n">
        <v>180</v>
      </c>
      <c r="H24" s="27" t="n">
        <v>760</v>
      </c>
    </row>
    <row r="25">
      <c r="B25" t="n">
        <v>2</v>
      </c>
      <c r="C25" s="27" t="n">
        <v>110</v>
      </c>
      <c r="D25" s="27" t="n">
        <v>280</v>
      </c>
      <c r="E25" s="27" t="n">
        <v>760</v>
      </c>
      <c r="F25" s="27" t="n">
        <v>110</v>
      </c>
      <c r="G25" s="27" t="n">
        <v>380</v>
      </c>
      <c r="H25" s="27" t="n">
        <v>1160</v>
      </c>
    </row>
    <row r="26">
      <c r="B26" t="n">
        <v>3</v>
      </c>
      <c r="C26" s="27" t="n">
        <v>130</v>
      </c>
      <c r="D26" s="27" t="n">
        <v>380</v>
      </c>
      <c r="E26" s="27" t="n">
        <v>960</v>
      </c>
      <c r="F26" s="27" t="n">
        <v>130</v>
      </c>
      <c r="G26" s="27" t="n">
        <v>580</v>
      </c>
      <c r="H26" s="27" t="n">
        <v>1560</v>
      </c>
    </row>
    <row r="27">
      <c r="B27" t="n">
        <v>4</v>
      </c>
      <c r="C27" s="27" t="n">
        <v>150</v>
      </c>
      <c r="D27" s="27" t="n">
        <v>480</v>
      </c>
      <c r="E27" s="27" t="n">
        <v>1160</v>
      </c>
      <c r="F27" s="27" t="n">
        <v>150</v>
      </c>
      <c r="G27" s="27" t="n">
        <v>780</v>
      </c>
      <c r="H27" s="27" t="n">
        <v>1960</v>
      </c>
    </row>
    <row r="28">
      <c r="B28" t="n">
        <v>5</v>
      </c>
      <c r="C28" s="27" t="n">
        <v>170</v>
      </c>
      <c r="D28" s="27" t="n">
        <v>580</v>
      </c>
      <c r="E28" s="27" t="n">
        <v>1360</v>
      </c>
      <c r="F28" s="27" t="n">
        <v>170</v>
      </c>
      <c r="G28" s="27" t="n">
        <v>980</v>
      </c>
      <c r="H28" s="27" t="n">
        <v>2360</v>
      </c>
    </row>
    <row r="29">
      <c r="B29" t="n">
        <v>6</v>
      </c>
      <c r="C29" s="27" t="n">
        <v>190</v>
      </c>
      <c r="D29" s="27" t="n">
        <v>680</v>
      </c>
      <c r="E29" s="27" t="n">
        <v>1560</v>
      </c>
      <c r="F29" s="27" t="n">
        <v>190</v>
      </c>
      <c r="G29" s="27" t="n">
        <v>1180</v>
      </c>
      <c r="H29" s="27" t="n">
        <v>2760</v>
      </c>
    </row>
    <row r="30">
      <c r="A30" s="3" t="inlineStr">
        <is>
          <t>2 H/S</t>
        </is>
      </c>
      <c r="B30" t="n">
        <v>1</v>
      </c>
      <c r="C30" s="27" t="n">
        <v>110</v>
      </c>
      <c r="D30" s="27" t="n">
        <v>470</v>
      </c>
      <c r="E30" s="27" t="n">
        <v>640</v>
      </c>
      <c r="F30" s="27" t="n">
        <v>110</v>
      </c>
      <c r="G30" s="27" t="n">
        <v>670</v>
      </c>
      <c r="H30" s="27" t="n">
        <v>840</v>
      </c>
    </row>
    <row r="31">
      <c r="B31" t="n">
        <v>2</v>
      </c>
      <c r="C31" s="27" t="n">
        <v>140</v>
      </c>
      <c r="D31" s="27" t="n">
        <v>570</v>
      </c>
      <c r="E31" s="27" t="n">
        <v>840</v>
      </c>
      <c r="F31" s="27" t="n">
        <v>140</v>
      </c>
      <c r="G31" s="27" t="n">
        <v>870</v>
      </c>
      <c r="H31" s="27" t="n">
        <v>1240</v>
      </c>
    </row>
    <row r="32">
      <c r="B32" t="n">
        <v>3</v>
      </c>
      <c r="C32" s="27" t="n">
        <v>170</v>
      </c>
      <c r="D32" s="27" t="n">
        <v>670</v>
      </c>
      <c r="E32" s="27" t="n">
        <v>1040</v>
      </c>
      <c r="F32" s="27" t="n">
        <v>170</v>
      </c>
      <c r="G32" s="27" t="n">
        <v>1070</v>
      </c>
      <c r="H32" s="27" t="n">
        <v>1640</v>
      </c>
    </row>
    <row r="33">
      <c r="B33" t="n">
        <v>4</v>
      </c>
      <c r="C33" s="27" t="n">
        <v>200</v>
      </c>
      <c r="D33" s="27" t="n">
        <v>770</v>
      </c>
      <c r="E33" s="27" t="n">
        <v>1240</v>
      </c>
      <c r="F33" s="27" t="n">
        <v>200</v>
      </c>
      <c r="G33" s="27" t="n">
        <v>1270</v>
      </c>
      <c r="H33" s="27" t="n">
        <v>2040</v>
      </c>
    </row>
    <row r="34">
      <c r="B34" t="n">
        <v>5</v>
      </c>
      <c r="C34" s="27" t="n">
        <v>230</v>
      </c>
      <c r="D34" s="27" t="n">
        <v>870</v>
      </c>
      <c r="E34" s="27" t="n">
        <v>1440</v>
      </c>
      <c r="F34" s="27" t="n">
        <v>230</v>
      </c>
      <c r="G34" s="27" t="n">
        <v>1470</v>
      </c>
      <c r="H34" s="27" t="n">
        <v>2440</v>
      </c>
    </row>
    <row r="35">
      <c r="B35" t="n">
        <v>6</v>
      </c>
      <c r="C35" s="27" t="n">
        <v>260</v>
      </c>
      <c r="D35" s="27" t="n">
        <v>970</v>
      </c>
      <c r="E35" s="27" t="n">
        <v>1640</v>
      </c>
      <c r="F35" s="27" t="n">
        <v>260</v>
      </c>
      <c r="G35" s="27" t="n">
        <v>1670</v>
      </c>
      <c r="H35" s="27" t="n">
        <v>2840</v>
      </c>
    </row>
    <row r="36">
      <c r="A36" s="3" t="inlineStr">
        <is>
          <t>2 NT</t>
        </is>
      </c>
      <c r="B36" t="n">
        <v>1</v>
      </c>
      <c r="C36" s="27" t="n">
        <v>120</v>
      </c>
      <c r="D36" s="27" t="n">
        <v>490</v>
      </c>
      <c r="E36" s="27" t="n">
        <v>680</v>
      </c>
      <c r="F36" s="27" t="n">
        <v>120</v>
      </c>
      <c r="G36" s="27" t="n">
        <v>690</v>
      </c>
      <c r="H36" s="27" t="n">
        <v>880</v>
      </c>
    </row>
    <row r="37">
      <c r="B37" t="n">
        <v>2</v>
      </c>
      <c r="C37" s="27" t="n">
        <v>150</v>
      </c>
      <c r="D37" s="27" t="n">
        <v>590</v>
      </c>
      <c r="E37" s="27" t="n">
        <v>880</v>
      </c>
      <c r="F37" s="27" t="n">
        <v>150</v>
      </c>
      <c r="G37" s="27" t="n">
        <v>890</v>
      </c>
      <c r="H37" s="27" t="n">
        <v>1280</v>
      </c>
    </row>
    <row r="38">
      <c r="B38" t="n">
        <v>3</v>
      </c>
      <c r="C38" s="27" t="n">
        <v>180</v>
      </c>
      <c r="D38" s="27" t="n">
        <v>690</v>
      </c>
      <c r="E38" s="27" t="n">
        <v>1080</v>
      </c>
      <c r="F38" s="27" t="n">
        <v>180</v>
      </c>
      <c r="G38" s="27" t="n">
        <v>1090</v>
      </c>
      <c r="H38" s="27" t="n">
        <v>1680</v>
      </c>
    </row>
    <row r="39">
      <c r="B39" t="n">
        <v>4</v>
      </c>
      <c r="C39" s="27" t="n">
        <v>210</v>
      </c>
      <c r="D39" s="27" t="n">
        <v>790</v>
      </c>
      <c r="E39" s="27" t="n">
        <v>1280</v>
      </c>
      <c r="F39" s="27" t="n">
        <v>210</v>
      </c>
      <c r="G39" s="27" t="n">
        <v>1290</v>
      </c>
      <c r="H39" s="27" t="n">
        <v>2080</v>
      </c>
    </row>
    <row r="40">
      <c r="B40" t="n">
        <v>5</v>
      </c>
      <c r="C40" s="27" t="n">
        <v>240</v>
      </c>
      <c r="D40" s="27" t="n">
        <v>890</v>
      </c>
      <c r="E40" s="27" t="n">
        <v>1480</v>
      </c>
      <c r="F40" s="27" t="n">
        <v>240</v>
      </c>
      <c r="G40" s="27" t="n">
        <v>1490</v>
      </c>
      <c r="H40" s="27" t="n">
        <v>2480</v>
      </c>
    </row>
    <row r="41">
      <c r="B41" t="n">
        <v>6</v>
      </c>
      <c r="C41" s="27" t="n">
        <v>270</v>
      </c>
      <c r="D41" s="27" t="n">
        <v>990</v>
      </c>
      <c r="E41" s="27" t="n">
        <v>1680</v>
      </c>
      <c r="F41" s="27" t="n">
        <v>270</v>
      </c>
      <c r="G41" s="27" t="n">
        <v>1690</v>
      </c>
      <c r="H41" s="27" t="n">
        <v>2880</v>
      </c>
    </row>
    <row r="42">
      <c r="A42" s="3" t="inlineStr">
        <is>
          <t>3 D/C</t>
        </is>
      </c>
      <c r="B42" t="n">
        <v>1</v>
      </c>
      <c r="C42" s="27" t="n">
        <v>110</v>
      </c>
      <c r="D42" s="27" t="n">
        <v>470</v>
      </c>
      <c r="E42" s="27" t="n">
        <v>640</v>
      </c>
      <c r="F42" s="27" t="n">
        <v>110</v>
      </c>
      <c r="G42" s="27" t="n">
        <v>670</v>
      </c>
      <c r="H42" s="27" t="n">
        <v>840</v>
      </c>
    </row>
    <row r="43">
      <c r="B43" t="n">
        <v>2</v>
      </c>
      <c r="C43" s="27" t="n">
        <v>130</v>
      </c>
      <c r="D43" s="27" t="n">
        <v>570</v>
      </c>
      <c r="E43" s="27" t="n">
        <v>840</v>
      </c>
      <c r="F43" s="27" t="n">
        <v>130</v>
      </c>
      <c r="G43" s="27" t="n">
        <v>870</v>
      </c>
      <c r="H43" s="27" t="n">
        <v>1240</v>
      </c>
    </row>
    <row r="44">
      <c r="B44" t="n">
        <v>3</v>
      </c>
      <c r="C44" s="27" t="n">
        <v>150</v>
      </c>
      <c r="D44" s="27" t="n">
        <v>670</v>
      </c>
      <c r="E44" s="27" t="n">
        <v>1040</v>
      </c>
      <c r="F44" s="27" t="n">
        <v>150</v>
      </c>
      <c r="G44" s="27" t="n">
        <v>1070</v>
      </c>
      <c r="H44" s="27" t="n">
        <v>1640</v>
      </c>
    </row>
    <row r="45">
      <c r="B45" t="n">
        <v>4</v>
      </c>
      <c r="C45" s="27" t="n">
        <v>170</v>
      </c>
      <c r="D45" s="27" t="n">
        <v>770</v>
      </c>
      <c r="E45" s="27" t="n">
        <v>1240</v>
      </c>
      <c r="F45" s="27" t="n">
        <v>170</v>
      </c>
      <c r="G45" s="27" t="n">
        <v>1270</v>
      </c>
      <c r="H45" s="27" t="n">
        <v>2040</v>
      </c>
    </row>
    <row r="46">
      <c r="B46" t="n">
        <v>5</v>
      </c>
      <c r="C46" s="27" t="n">
        <v>190</v>
      </c>
      <c r="D46" s="27" t="n">
        <v>870</v>
      </c>
      <c r="E46" s="27" t="n">
        <v>1440</v>
      </c>
      <c r="F46" s="27" t="n">
        <v>190</v>
      </c>
      <c r="G46" s="27" t="n">
        <v>1470</v>
      </c>
      <c r="H46" s="27" t="n">
        <v>2440</v>
      </c>
    </row>
    <row r="47">
      <c r="A47" s="3" t="inlineStr">
        <is>
          <t>3 H/S</t>
        </is>
      </c>
      <c r="B47" t="n">
        <v>1</v>
      </c>
      <c r="C47" s="27" t="n">
        <v>140</v>
      </c>
      <c r="D47" s="27" t="n">
        <v>530</v>
      </c>
      <c r="E47" s="27" t="n">
        <v>760</v>
      </c>
      <c r="F47" s="27" t="n">
        <v>140</v>
      </c>
      <c r="G47" s="27" t="n">
        <v>730</v>
      </c>
      <c r="H47" s="27" t="n">
        <v>960</v>
      </c>
    </row>
    <row r="48">
      <c r="B48" t="n">
        <v>2</v>
      </c>
      <c r="C48" s="27" t="n">
        <v>170</v>
      </c>
      <c r="D48" s="27" t="n">
        <v>630</v>
      </c>
      <c r="E48" s="27" t="n">
        <v>960</v>
      </c>
      <c r="F48" s="27" t="n">
        <v>170</v>
      </c>
      <c r="G48" s="27" t="n">
        <v>930</v>
      </c>
      <c r="H48" s="27" t="n">
        <v>1360</v>
      </c>
    </row>
    <row r="49">
      <c r="B49" t="n">
        <v>3</v>
      </c>
      <c r="C49" s="27" t="n">
        <v>200</v>
      </c>
      <c r="D49" s="27" t="n">
        <v>730</v>
      </c>
      <c r="E49" s="27" t="n">
        <v>1160</v>
      </c>
      <c r="F49" s="27" t="n">
        <v>200</v>
      </c>
      <c r="G49" s="27" t="n">
        <v>1130</v>
      </c>
      <c r="H49" s="27" t="n">
        <v>1760</v>
      </c>
    </row>
    <row r="50">
      <c r="B50" t="n">
        <v>4</v>
      </c>
      <c r="C50" s="27" t="n">
        <v>230</v>
      </c>
      <c r="D50" s="27" t="n">
        <v>830</v>
      </c>
      <c r="E50" s="27" t="n">
        <v>1360</v>
      </c>
      <c r="F50" s="27" t="n">
        <v>230</v>
      </c>
      <c r="G50" s="27" t="n">
        <v>1330</v>
      </c>
      <c r="H50" s="27" t="n">
        <v>2160</v>
      </c>
    </row>
    <row r="51">
      <c r="B51" t="n">
        <v>5</v>
      </c>
      <c r="C51" s="27" t="n">
        <v>260</v>
      </c>
      <c r="D51" s="27" t="n">
        <v>930</v>
      </c>
      <c r="E51" s="27" t="n">
        <v>1560</v>
      </c>
      <c r="F51" s="27" t="n">
        <v>260</v>
      </c>
      <c r="G51" s="27" t="n">
        <v>1530</v>
      </c>
      <c r="H51" s="27" t="n">
        <v>2560</v>
      </c>
    </row>
    <row r="52">
      <c r="A52" s="3" t="inlineStr">
        <is>
          <t>3 NT</t>
        </is>
      </c>
      <c r="B52" t="n">
        <v>1</v>
      </c>
      <c r="C52" s="27" t="n">
        <v>400</v>
      </c>
      <c r="D52" s="27" t="n">
        <v>550</v>
      </c>
      <c r="E52" s="27" t="n">
        <v>800</v>
      </c>
      <c r="F52" s="27" t="n">
        <v>600</v>
      </c>
      <c r="G52" s="27" t="n">
        <v>750</v>
      </c>
      <c r="H52" s="27" t="n">
        <v>1000</v>
      </c>
    </row>
    <row r="53">
      <c r="B53" t="n">
        <v>2</v>
      </c>
      <c r="C53" s="27" t="n">
        <v>430</v>
      </c>
      <c r="D53" s="27" t="n">
        <v>650</v>
      </c>
      <c r="E53" s="27" t="n">
        <v>1000</v>
      </c>
      <c r="F53" s="27" t="n">
        <v>630</v>
      </c>
      <c r="G53" s="27" t="n">
        <v>950</v>
      </c>
      <c r="H53" s="27" t="n">
        <v>1400</v>
      </c>
    </row>
    <row r="54">
      <c r="B54" t="n">
        <v>3</v>
      </c>
      <c r="C54" s="27" t="n">
        <v>460</v>
      </c>
      <c r="D54" s="27" t="n">
        <v>750</v>
      </c>
      <c r="E54" s="27" t="n">
        <v>1200</v>
      </c>
      <c r="F54" s="27" t="n">
        <v>660</v>
      </c>
      <c r="G54" s="27" t="n">
        <v>1150</v>
      </c>
      <c r="H54" s="27" t="n">
        <v>1800</v>
      </c>
    </row>
    <row r="55">
      <c r="B55" t="n">
        <v>4</v>
      </c>
      <c r="C55" s="27" t="n">
        <v>490</v>
      </c>
      <c r="D55" s="27" t="n">
        <v>850</v>
      </c>
      <c r="E55" s="27" t="n">
        <v>1400</v>
      </c>
      <c r="F55" s="27" t="n">
        <v>690</v>
      </c>
      <c r="G55" s="27" t="n">
        <v>1350</v>
      </c>
      <c r="H55" s="27" t="n">
        <v>2200</v>
      </c>
    </row>
    <row r="56">
      <c r="B56" t="n">
        <v>5</v>
      </c>
      <c r="C56" s="27" t="n">
        <v>520</v>
      </c>
      <c r="D56" s="27" t="n">
        <v>950</v>
      </c>
      <c r="E56" s="27" t="n">
        <v>1600</v>
      </c>
      <c r="F56" s="27" t="n">
        <v>720</v>
      </c>
      <c r="G56" s="27" t="n">
        <v>1550</v>
      </c>
      <c r="H56" s="27" t="n">
        <v>2600</v>
      </c>
    </row>
    <row r="57">
      <c r="A57" s="3" t="inlineStr">
        <is>
          <t>4 D/C</t>
        </is>
      </c>
      <c r="B57" t="n">
        <v>1</v>
      </c>
      <c r="C57" s="27" t="n">
        <v>130</v>
      </c>
      <c r="D57" s="27" t="n">
        <v>510</v>
      </c>
      <c r="E57" s="27" t="n">
        <v>720</v>
      </c>
      <c r="F57" s="27" t="n">
        <v>130</v>
      </c>
      <c r="G57" s="27" t="n">
        <v>710</v>
      </c>
      <c r="H57" s="27" t="n">
        <v>920</v>
      </c>
    </row>
    <row r="58">
      <c r="B58" t="n">
        <v>2</v>
      </c>
      <c r="C58" s="27" t="n">
        <v>150</v>
      </c>
      <c r="D58" s="27" t="n">
        <v>610</v>
      </c>
      <c r="E58" s="27" t="n">
        <v>920</v>
      </c>
      <c r="F58" s="27" t="n">
        <v>150</v>
      </c>
      <c r="G58" s="27" t="n">
        <v>910</v>
      </c>
      <c r="H58" s="27" t="n">
        <v>1320</v>
      </c>
    </row>
    <row r="59">
      <c r="B59" t="n">
        <v>3</v>
      </c>
      <c r="C59" s="27" t="n">
        <v>170</v>
      </c>
      <c r="D59" s="27" t="n">
        <v>710</v>
      </c>
      <c r="E59" s="27" t="n">
        <v>1120</v>
      </c>
      <c r="F59" s="27" t="n">
        <v>170</v>
      </c>
      <c r="G59" s="27" t="n">
        <v>1110</v>
      </c>
      <c r="H59" s="27" t="n">
        <v>1720</v>
      </c>
    </row>
    <row r="60">
      <c r="B60" t="n">
        <v>4</v>
      </c>
      <c r="C60" s="27" t="n">
        <v>190</v>
      </c>
      <c r="D60" s="27" t="n">
        <v>810</v>
      </c>
      <c r="E60" s="27" t="n">
        <v>1320</v>
      </c>
      <c r="F60" s="27" t="n">
        <v>190</v>
      </c>
      <c r="G60" s="27" t="n">
        <v>1310</v>
      </c>
      <c r="H60" s="27" t="n">
        <v>2120</v>
      </c>
    </row>
    <row r="61">
      <c r="A61" s="3" t="inlineStr">
        <is>
          <t>4 H/S</t>
        </is>
      </c>
      <c r="B61" t="n">
        <v>1</v>
      </c>
      <c r="C61" s="27" t="n">
        <v>420</v>
      </c>
      <c r="D61" s="27" t="n">
        <v>590</v>
      </c>
      <c r="E61" s="27" t="n">
        <v>880</v>
      </c>
      <c r="F61" s="27" t="n">
        <v>620</v>
      </c>
      <c r="G61" s="27" t="n">
        <v>790</v>
      </c>
      <c r="H61" s="27" t="n">
        <v>1080</v>
      </c>
    </row>
    <row r="62">
      <c r="B62" t="n">
        <v>2</v>
      </c>
      <c r="C62" s="27" t="n">
        <v>450</v>
      </c>
      <c r="D62" s="27" t="n">
        <v>690</v>
      </c>
      <c r="E62" s="27" t="n">
        <v>1080</v>
      </c>
      <c r="F62" s="27" t="n">
        <v>650</v>
      </c>
      <c r="G62" s="27" t="n">
        <v>990</v>
      </c>
      <c r="H62" s="27" t="n">
        <v>1480</v>
      </c>
    </row>
    <row r="63">
      <c r="B63" t="n">
        <v>3</v>
      </c>
      <c r="C63" s="27" t="n">
        <v>480</v>
      </c>
      <c r="D63" s="27" t="n">
        <v>790</v>
      </c>
      <c r="E63" s="27" t="n">
        <v>1280</v>
      </c>
      <c r="F63" s="27" t="n">
        <v>680</v>
      </c>
      <c r="G63" s="27" t="n">
        <v>1190</v>
      </c>
      <c r="H63" s="27" t="n">
        <v>1880</v>
      </c>
    </row>
    <row r="64">
      <c r="B64" t="n">
        <v>4</v>
      </c>
      <c r="C64" s="27" t="n">
        <v>510</v>
      </c>
      <c r="D64" s="27" t="n">
        <v>890</v>
      </c>
      <c r="E64" s="27" t="n">
        <v>1480</v>
      </c>
      <c r="F64" s="27" t="n">
        <v>710</v>
      </c>
      <c r="G64" s="27" t="n">
        <v>1390</v>
      </c>
      <c r="H64" s="27" t="n">
        <v>2280</v>
      </c>
    </row>
    <row r="65">
      <c r="A65" s="3" t="inlineStr">
        <is>
          <t>4 NT</t>
        </is>
      </c>
      <c r="B65" t="n">
        <v>1</v>
      </c>
      <c r="C65" s="27" t="n">
        <v>430</v>
      </c>
      <c r="D65" s="27" t="n">
        <v>610</v>
      </c>
      <c r="E65" s="27" t="n">
        <v>920</v>
      </c>
      <c r="F65" s="27" t="n">
        <v>630</v>
      </c>
      <c r="G65" s="27" t="n">
        <v>810</v>
      </c>
      <c r="H65" s="27" t="n">
        <v>1120</v>
      </c>
    </row>
    <row r="66">
      <c r="B66" t="n">
        <v>2</v>
      </c>
      <c r="C66" s="27" t="n">
        <v>460</v>
      </c>
      <c r="D66" s="27" t="n">
        <v>710</v>
      </c>
      <c r="E66" s="27" t="n">
        <v>1120</v>
      </c>
      <c r="F66" s="27" t="n">
        <v>660</v>
      </c>
      <c r="G66" s="27" t="n">
        <v>1010</v>
      </c>
      <c r="H66" s="27" t="n">
        <v>1520</v>
      </c>
    </row>
    <row r="67">
      <c r="B67" t="n">
        <v>3</v>
      </c>
      <c r="C67" s="27" t="n">
        <v>490</v>
      </c>
      <c r="D67" s="27" t="n">
        <v>810</v>
      </c>
      <c r="E67" s="27" t="n">
        <v>1320</v>
      </c>
      <c r="F67" s="27" t="n">
        <v>690</v>
      </c>
      <c r="G67" s="27" t="n">
        <v>1210</v>
      </c>
      <c r="H67" s="27" t="n">
        <v>1920</v>
      </c>
    </row>
    <row r="68">
      <c r="B68" t="n">
        <v>4</v>
      </c>
      <c r="C68" s="27" t="n">
        <v>520</v>
      </c>
      <c r="D68" s="27" t="n">
        <v>910</v>
      </c>
      <c r="E68" s="27" t="n">
        <v>1520</v>
      </c>
      <c r="F68" s="27" t="n">
        <v>720</v>
      </c>
      <c r="G68" s="27" t="n">
        <v>1410</v>
      </c>
      <c r="H68" s="27" t="n">
        <v>2320</v>
      </c>
    </row>
    <row r="69">
      <c r="A69" s="3" t="inlineStr">
        <is>
          <t>5 D/C</t>
        </is>
      </c>
      <c r="B69" t="n">
        <v>1</v>
      </c>
      <c r="C69" s="27" t="n">
        <v>400</v>
      </c>
      <c r="D69" s="27" t="n">
        <v>550</v>
      </c>
      <c r="E69" s="27" t="n">
        <v>800</v>
      </c>
      <c r="F69" s="27" t="n">
        <v>600</v>
      </c>
      <c r="G69" s="27" t="n">
        <v>750</v>
      </c>
      <c r="H69" s="27" t="n">
        <v>1000</v>
      </c>
    </row>
    <row r="70">
      <c r="B70" t="n">
        <v>2</v>
      </c>
      <c r="C70" s="27" t="n">
        <v>420</v>
      </c>
      <c r="D70" s="27" t="n">
        <v>650</v>
      </c>
      <c r="E70" s="27" t="n">
        <v>1000</v>
      </c>
      <c r="F70" s="27" t="n">
        <v>620</v>
      </c>
      <c r="G70" s="27" t="n">
        <v>950</v>
      </c>
      <c r="H70" s="27" t="n">
        <v>1400</v>
      </c>
    </row>
    <row r="71">
      <c r="B71" t="n">
        <v>3</v>
      </c>
      <c r="C71" s="27" t="n">
        <v>440</v>
      </c>
      <c r="D71" s="27" t="n">
        <v>750</v>
      </c>
      <c r="E71" s="27" t="n">
        <v>1200</v>
      </c>
      <c r="F71" s="27" t="n">
        <v>640</v>
      </c>
      <c r="G71" s="27" t="n">
        <v>1150</v>
      </c>
      <c r="H71" s="27" t="n">
        <v>1800</v>
      </c>
    </row>
    <row r="72">
      <c r="A72" s="3" t="inlineStr">
        <is>
          <t>5 H/S</t>
        </is>
      </c>
      <c r="B72" t="n">
        <v>1</v>
      </c>
      <c r="C72" s="27" t="n">
        <v>450</v>
      </c>
      <c r="D72" s="27" t="n">
        <v>650</v>
      </c>
      <c r="E72" s="27" t="n">
        <v>1000</v>
      </c>
      <c r="F72" s="27" t="n">
        <v>650</v>
      </c>
      <c r="G72" s="27" t="n">
        <v>850</v>
      </c>
      <c r="H72" s="27" t="n">
        <v>1200</v>
      </c>
    </row>
    <row r="73">
      <c r="B73" t="n">
        <v>2</v>
      </c>
      <c r="C73" s="27" t="n">
        <v>480</v>
      </c>
      <c r="D73" s="27" t="n">
        <v>750</v>
      </c>
      <c r="E73" s="27" t="n">
        <v>1200</v>
      </c>
      <c r="F73" s="27" t="n">
        <v>680</v>
      </c>
      <c r="G73" s="27" t="n">
        <v>1050</v>
      </c>
      <c r="H73" s="27" t="n">
        <v>1600</v>
      </c>
    </row>
    <row r="74">
      <c r="B74" t="n">
        <v>3</v>
      </c>
      <c r="C74" s="27" t="n">
        <v>510</v>
      </c>
      <c r="D74" s="27" t="n">
        <v>850</v>
      </c>
      <c r="E74" s="27" t="n">
        <v>1400</v>
      </c>
      <c r="F74" s="27" t="n">
        <v>710</v>
      </c>
      <c r="G74" s="27" t="n">
        <v>1250</v>
      </c>
      <c r="H74" s="27" t="n">
        <v>2000</v>
      </c>
    </row>
    <row r="75">
      <c r="A75" s="3" t="inlineStr">
        <is>
          <t>5 NT</t>
        </is>
      </c>
      <c r="B75" t="n">
        <v>1</v>
      </c>
      <c r="C75" s="27" t="n">
        <v>460</v>
      </c>
      <c r="D75" s="27" t="n">
        <v>670</v>
      </c>
      <c r="E75" s="27" t="n">
        <v>1040</v>
      </c>
      <c r="F75" s="27" t="n">
        <v>660</v>
      </c>
      <c r="G75" s="27" t="n">
        <v>870</v>
      </c>
      <c r="H75" s="27" t="n">
        <v>1240</v>
      </c>
    </row>
    <row r="76">
      <c r="B76" t="n">
        <v>2</v>
      </c>
      <c r="C76" s="27" t="n">
        <v>490</v>
      </c>
      <c r="D76" s="27" t="n">
        <v>770</v>
      </c>
      <c r="E76" s="27" t="n">
        <v>1240</v>
      </c>
      <c r="F76" s="27" t="n">
        <v>690</v>
      </c>
      <c r="G76" s="27" t="n">
        <v>1070</v>
      </c>
      <c r="H76" s="27" t="n">
        <v>1640</v>
      </c>
    </row>
    <row r="77">
      <c r="B77" t="n">
        <v>3</v>
      </c>
      <c r="C77" s="27" t="n">
        <v>520</v>
      </c>
      <c r="D77" s="27" t="n">
        <v>870</v>
      </c>
      <c r="E77" s="27" t="n">
        <v>1440</v>
      </c>
      <c r="F77" s="27" t="n">
        <v>720</v>
      </c>
      <c r="G77" s="27" t="n">
        <v>1270</v>
      </c>
      <c r="H77" s="27" t="n">
        <v>2040</v>
      </c>
    </row>
    <row r="78">
      <c r="A78" s="3" t="inlineStr">
        <is>
          <t>6 D/C</t>
        </is>
      </c>
      <c r="B78" t="n">
        <v>1</v>
      </c>
      <c r="C78" s="27" t="n">
        <v>920</v>
      </c>
      <c r="D78" s="27" t="n">
        <v>1090</v>
      </c>
      <c r="E78" s="27" t="n">
        <v>1380</v>
      </c>
      <c r="F78" s="27" t="n">
        <v>1370</v>
      </c>
      <c r="G78" s="27" t="n">
        <v>1540</v>
      </c>
      <c r="H78" s="27" t="n">
        <v>1830</v>
      </c>
    </row>
    <row r="79">
      <c r="B79" t="n">
        <v>2</v>
      </c>
      <c r="C79" s="27" t="n">
        <v>940</v>
      </c>
      <c r="D79" s="27" t="n">
        <v>1190</v>
      </c>
      <c r="E79" s="27" t="n">
        <v>1580</v>
      </c>
      <c r="F79" s="27" t="n">
        <v>1390</v>
      </c>
      <c r="G79" s="27" t="n">
        <v>1740</v>
      </c>
      <c r="H79" s="27" t="n">
        <v>2230</v>
      </c>
    </row>
    <row r="80">
      <c r="A80" s="3" t="inlineStr">
        <is>
          <t>6 H/S</t>
        </is>
      </c>
      <c r="B80" t="n">
        <v>1</v>
      </c>
      <c r="C80" s="27" t="n">
        <v>980</v>
      </c>
      <c r="D80" s="27" t="n">
        <v>1210</v>
      </c>
      <c r="E80" s="27" t="n">
        <v>1620</v>
      </c>
      <c r="F80" s="27" t="n">
        <v>1430</v>
      </c>
      <c r="G80" s="27" t="n">
        <v>1660</v>
      </c>
      <c r="H80" s="27" t="n">
        <v>2070</v>
      </c>
    </row>
    <row r="81">
      <c r="B81" t="n">
        <v>2</v>
      </c>
      <c r="C81" s="27" t="n">
        <v>1010</v>
      </c>
      <c r="D81" s="27" t="n">
        <v>1310</v>
      </c>
      <c r="E81" s="27" t="n">
        <v>1820</v>
      </c>
      <c r="F81" s="27" t="n">
        <v>1460</v>
      </c>
      <c r="G81" s="27" t="n">
        <v>1860</v>
      </c>
      <c r="H81" s="27" t="n">
        <v>2470</v>
      </c>
    </row>
    <row r="82">
      <c r="A82" s="3" t="inlineStr">
        <is>
          <t>6 NT</t>
        </is>
      </c>
      <c r="B82" t="n">
        <v>1</v>
      </c>
      <c r="C82" s="27" t="n">
        <v>990</v>
      </c>
      <c r="D82" s="27" t="n">
        <v>1230</v>
      </c>
      <c r="E82" s="27" t="n">
        <v>1660</v>
      </c>
      <c r="F82" s="27" t="n">
        <v>1440</v>
      </c>
      <c r="G82" s="27" t="n">
        <v>1680</v>
      </c>
      <c r="H82" s="27" t="n">
        <v>2110</v>
      </c>
    </row>
    <row r="83">
      <c r="B83" t="n">
        <v>2</v>
      </c>
      <c r="C83" s="27" t="n">
        <v>1020</v>
      </c>
      <c r="D83" s="27" t="n">
        <v>1330</v>
      </c>
      <c r="E83" s="27" t="n">
        <v>1860</v>
      </c>
      <c r="F83" s="27" t="n">
        <v>1470</v>
      </c>
      <c r="G83" s="27" t="n">
        <v>1880</v>
      </c>
      <c r="H83" s="27" t="n">
        <v>2510</v>
      </c>
    </row>
    <row r="84">
      <c r="A84" s="3" t="inlineStr">
        <is>
          <t>7 D/C</t>
        </is>
      </c>
      <c r="B84" t="n">
        <v>1</v>
      </c>
      <c r="C84" s="27" t="n">
        <v>1440</v>
      </c>
      <c r="D84" s="27" t="n">
        <v>1630</v>
      </c>
      <c r="E84" s="27" t="n">
        <v>1960</v>
      </c>
      <c r="F84" s="27" t="n">
        <v>2140</v>
      </c>
      <c r="G84" s="27" t="n">
        <v>2330</v>
      </c>
      <c r="H84" s="27" t="n">
        <v>2660</v>
      </c>
    </row>
    <row r="85">
      <c r="A85" s="3" t="inlineStr">
        <is>
          <t>7 H/S</t>
        </is>
      </c>
      <c r="B85" t="n">
        <v>1</v>
      </c>
      <c r="C85" s="27" t="n">
        <v>1510</v>
      </c>
      <c r="D85" s="27" t="n">
        <v>1770</v>
      </c>
      <c r="E85" s="27" t="n">
        <v>2240</v>
      </c>
      <c r="F85" s="27" t="n">
        <v>2210</v>
      </c>
      <c r="G85" s="27" t="n">
        <v>2470</v>
      </c>
      <c r="H85" s="27" t="n">
        <v>2940</v>
      </c>
    </row>
    <row r="86">
      <c r="A86" s="3" t="inlineStr">
        <is>
          <t>7 NT</t>
        </is>
      </c>
      <c r="B86" t="n">
        <v>1</v>
      </c>
      <c r="C86" s="27" t="n">
        <v>1520</v>
      </c>
      <c r="D86" s="27" t="n">
        <v>1790</v>
      </c>
      <c r="E86" s="27" t="n">
        <v>2280</v>
      </c>
      <c r="F86" s="27" t="n">
        <v>2220</v>
      </c>
      <c r="G86" s="27" t="n">
        <v>2490</v>
      </c>
      <c r="H86" s="2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2026-01-29T16:59:35Z</dcterms:created>
  <dcterms:modified xsi:type="dcterms:W3CDTF">2026-01-29T16:59:35Z</dcterms:modified>
</cp:coreProperties>
</file>