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01,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6</v>
      </c>
    </row>
    <row r="4">
      <c r="A4" s="2" t="inlineStr">
        <is>
          <t>Tables</t>
        </is>
      </c>
      <c r="B4" s="2" t="n">
        <v>3</v>
      </c>
    </row>
    <row r="5">
      <c r="A5" s="2" t="inlineStr">
        <is>
          <t>Rounds</t>
        </is>
      </c>
      <c r="B5" s="2" t="n">
        <v>5</v>
      </c>
    </row>
    <row r="6">
      <c r="A6" s="2" t="inlineStr">
        <is>
          <t>Boards per round</t>
        </is>
      </c>
      <c r="B6" s="2" t="n">
        <v>3</v>
      </c>
    </row>
    <row r="7">
      <c r="A7" s="2" t="inlineStr">
        <is>
          <t>Total Boards to play</t>
        </is>
      </c>
      <c r="B7" s="2" t="n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17</t>
        </is>
      </c>
      <c r="C2" t="inlineStr">
        <is>
          <t>Name 69</t>
        </is>
      </c>
      <c r="D2" s="4">
        <f>SUMIF('By Board'!$D$3:$D$47,"=1",'By Board'!$L$3:$L$47)+SUMIF('By Board'!$E$3:$E$47,"=1",'By Board'!$M$3:$M$47)</f>
        <v/>
      </c>
      <c r="E2" s="5">
        <f>SUMIF('By Board'!$D$3:$D$47,"=1",'By Board'!$N$3:$N$47)/15+SUMIF('By Board'!$E$3:$E$47,"=1",'By Board'!$O$3:$O$47)/15</f>
        <v/>
      </c>
    </row>
    <row r="3">
      <c r="A3" t="n">
        <v>2</v>
      </c>
      <c r="B3" t="inlineStr">
        <is>
          <t>Name 79</t>
        </is>
      </c>
      <c r="C3" t="inlineStr">
        <is>
          <t>Name 22</t>
        </is>
      </c>
      <c r="D3" s="4">
        <f>SUMIF('By Board'!$D$3:$D$47,"=2",'By Board'!$L$3:$L$47)+SUMIF('By Board'!$E$3:$E$47,"=2",'By Board'!$M$3:$M$47)</f>
        <v/>
      </c>
      <c r="E3" s="5">
        <f>SUMIF('By Board'!$D$3:$D$47,"=2",'By Board'!$N$3:$N$47)/15+SUMIF('By Board'!$E$3:$E$47,"=2",'By Board'!$O$3:$O$47)/15</f>
        <v/>
      </c>
    </row>
    <row r="4">
      <c r="A4" t="n">
        <v>3</v>
      </c>
      <c r="B4" t="inlineStr">
        <is>
          <t>Name 67</t>
        </is>
      </c>
      <c r="C4" t="inlineStr">
        <is>
          <t>Name 81</t>
        </is>
      </c>
      <c r="D4" s="4">
        <f>SUMIF('By Board'!$D$3:$D$47,"=3",'By Board'!$L$3:$L$47)+SUMIF('By Board'!$E$3:$E$47,"=3",'By Board'!$M$3:$M$47)</f>
        <v/>
      </c>
      <c r="E4" s="5">
        <f>SUMIF('By Board'!$D$3:$D$47,"=3",'By Board'!$N$3:$N$47)/15+SUMIF('By Board'!$E$3:$E$47,"=3",'By Board'!$O$3:$O$47)/15</f>
        <v/>
      </c>
    </row>
    <row r="5">
      <c r="A5" t="n">
        <v>4</v>
      </c>
      <c r="B5" t="inlineStr">
        <is>
          <t>Name 39</t>
        </is>
      </c>
      <c r="C5" t="inlineStr">
        <is>
          <t>Name 43</t>
        </is>
      </c>
      <c r="D5" s="4">
        <f>SUMIF('By Board'!$D$3:$D$47,"=4",'By Board'!$L$3:$L$47)+SUMIF('By Board'!$E$3:$E$47,"=4",'By Board'!$M$3:$M$47)</f>
        <v/>
      </c>
      <c r="E5" s="5">
        <f>SUMIF('By Board'!$D$3:$D$47,"=4",'By Board'!$N$3:$N$47)/15+SUMIF('By Board'!$E$3:$E$47,"=4",'By Board'!$O$3:$O$47)/15</f>
        <v/>
      </c>
    </row>
    <row r="6">
      <c r="A6" t="n">
        <v>5</v>
      </c>
      <c r="B6" t="inlineStr">
        <is>
          <t>Name 62</t>
        </is>
      </c>
      <c r="C6" t="inlineStr">
        <is>
          <t>Name 65</t>
        </is>
      </c>
      <c r="D6" s="4">
        <f>SUMIF('By Board'!$D$3:$D$47,"=5",'By Board'!$L$3:$L$47)+SUMIF('By Board'!$E$3:$E$47,"=5",'By Board'!$M$3:$M$47)</f>
        <v/>
      </c>
      <c r="E6" s="5">
        <f>SUMIF('By Board'!$D$3:$D$47,"=5",'By Board'!$N$3:$N$47)/15+SUMIF('By Board'!$E$3:$E$47,"=5",'By Board'!$O$3:$O$47)/15</f>
        <v/>
      </c>
    </row>
    <row r="7">
      <c r="A7" t="n">
        <v>6</v>
      </c>
      <c r="B7" t="inlineStr">
        <is>
          <t>Name 47</t>
        </is>
      </c>
      <c r="C7" t="inlineStr">
        <is>
          <t>Name 39</t>
        </is>
      </c>
      <c r="D7" s="4">
        <f>SUMIF('By Board'!$D$3:$D$47,"=6",'By Board'!$L$3:$L$47)+0</f>
        <v/>
      </c>
      <c r="E7" s="5">
        <f>SUMIF('By Board'!$D$3:$D$47,"=6",'By Board'!$N$3:$N$47)/15+0/15</f>
        <v/>
      </c>
    </row>
    <row r="8">
      <c r="D8" s="6">
        <f>SUM(D2:D7)</f>
        <v/>
      </c>
      <c r="E8" s="7">
        <f>AVERAGE(E2:E7)</f>
        <v/>
      </c>
    </row>
    <row r="10">
      <c r="A10" t="inlineStr">
        <is>
          <t>Array Formula below, remove single quote</t>
        </is>
      </c>
    </row>
    <row r="11">
      <c r="A11" s="3" t="inlineStr">
        <is>
          <t>IMP Ranking</t>
        </is>
      </c>
    </row>
    <row r="12">
      <c r="A12" t="inlineStr">
        <is>
          <t>'=SORT(A2:E7,4,-1)</t>
        </is>
      </c>
      <c r="D12" s="4" t="n"/>
      <c r="E12" s="8" t="n"/>
    </row>
    <row r="13">
      <c r="D13" s="4" t="n"/>
      <c r="E13" s="8" t="n"/>
    </row>
    <row r="14">
      <c r="D14" s="4" t="n"/>
      <c r="E14" s="8" t="n"/>
    </row>
    <row r="15">
      <c r="D15" s="4" t="n"/>
      <c r="E15" s="8" t="n"/>
    </row>
    <row r="16">
      <c r="D16" s="4" t="n"/>
      <c r="E16" s="8" t="n"/>
    </row>
    <row r="17">
      <c r="D17" s="4" t="n"/>
      <c r="E17" s="8" t="n"/>
    </row>
    <row r="22">
      <c r="A22" s="3" t="inlineStr">
        <is>
          <t>MP Ranking</t>
        </is>
      </c>
    </row>
    <row r="23">
      <c r="A23" t="inlineStr">
        <is>
          <t>'=SORT(A2:E7,5,-1)</t>
        </is>
      </c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</sheetData>
  <mergeCells count="2">
    <mergeCell ref="A11:E11"/>
    <mergeCell ref="A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V2" s="3" t="inlineStr">
        <is>
          <t>EW MP Scores</t>
        </is>
      </c>
      <c r="X2" s="10" t="inlineStr">
        <is>
          <t>NS IMP Pair-wise</t>
        </is>
      </c>
      <c r="Z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4">
        <f>SUM(T3:U3)</f>
        <v/>
      </c>
      <c r="Q3" s="4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>
        <f>'By Round'!A21</f>
        <v/>
      </c>
      <c r="C4">
        <f>'By Round'!B27</f>
        <v/>
      </c>
      <c r="D4">
        <f>'By Round'!C27</f>
        <v/>
      </c>
      <c r="E4">
        <f>'By Round'!D27</f>
        <v/>
      </c>
      <c r="F4" s="11" t="inlineStr">
        <is>
          <t>None</t>
        </is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4">
        <f>SUM(T4:U4)</f>
        <v/>
      </c>
      <c r="Q4" s="4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5">
        <f>'By Round'!A30</f>
        <v/>
      </c>
      <c r="C5" s="15">
        <f>'By Round'!B36</f>
        <v/>
      </c>
      <c r="D5" s="15">
        <f>'By Round'!C36</f>
        <v/>
      </c>
      <c r="E5" s="15">
        <f>'By Round'!D36</f>
        <v/>
      </c>
      <c r="F5" s="16" t="inlineStr">
        <is>
          <t>None</t>
        </is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t="n">
        <v>2</v>
      </c>
      <c r="B6">
        <f>'By Round'!A3</f>
        <v/>
      </c>
      <c r="C6">
        <f>'By Round'!B3</f>
        <v/>
      </c>
      <c r="D6">
        <f>'By Round'!C3</f>
        <v/>
      </c>
      <c r="E6">
        <f>'By Round'!D3</f>
        <v/>
      </c>
      <c r="F6" s="11" t="inlineStr">
        <is>
          <t>NS</t>
        </is>
      </c>
      <c r="G6">
        <f>IF(ISBLANK('By Round'!G3),"",'By Round'!G3)</f>
        <v/>
      </c>
      <c r="H6">
        <f>IF(ISBLANK('By Round'!H3),"",'By Round'!H3)</f>
        <v/>
      </c>
      <c r="I6">
        <f>IF(ISBLANK('By Round'!I3),"",'By Round'!I3)</f>
        <v/>
      </c>
      <c r="J6">
        <f>IF(ISBLANK('By Round'!J3),"",'By Round'!J3)</f>
        <v/>
      </c>
      <c r="K6">
        <f>IF(ISBLANK('By Round'!K3),"",'By Round'!K3)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4">
        <f>SUM(T6:U6)</f>
        <v/>
      </c>
      <c r="Q6" s="4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>
        <f>'By Round'!A21</f>
        <v/>
      </c>
      <c r="C7">
        <f>'By Round'!B27</f>
        <v/>
      </c>
      <c r="D7">
        <f>'By Round'!C27</f>
        <v/>
      </c>
      <c r="E7">
        <f>'By Round'!D27</f>
        <v/>
      </c>
      <c r="F7" s="11" t="inlineStr">
        <is>
          <t>NS</t>
        </is>
      </c>
      <c r="G7">
        <f>IF(ISBLANK('By Round'!G27),"",'By Round'!G27)</f>
        <v/>
      </c>
      <c r="H7">
        <f>IF(ISBLANK('By Round'!H27),"",'By Round'!H27)</f>
        <v/>
      </c>
      <c r="I7">
        <f>IF(ISBLANK('By Round'!I27),"",'By Round'!I27)</f>
        <v/>
      </c>
      <c r="J7">
        <f>IF(ISBLANK('By Round'!J27),"",'By Round'!J27)</f>
        <v/>
      </c>
      <c r="K7">
        <f>IF(ISBLANK('By Round'!K27),"",'By Round'!K27)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4">
        <f>SUM(T7:U7)</f>
        <v/>
      </c>
      <c r="Q7" s="4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5">
        <f>'By Round'!A30</f>
        <v/>
      </c>
      <c r="C8" s="15">
        <f>'By Round'!B36</f>
        <v/>
      </c>
      <c r="D8" s="15">
        <f>'By Round'!C36</f>
        <v/>
      </c>
      <c r="E8" s="15">
        <f>'By Round'!D36</f>
        <v/>
      </c>
      <c r="F8" s="16" t="inlineStr">
        <is>
          <t>NS</t>
        </is>
      </c>
      <c r="G8" s="15">
        <f>IF(ISBLANK('By Round'!G36),"",'By Round'!G36)</f>
        <v/>
      </c>
      <c r="H8" s="15">
        <f>IF(ISBLANK('By Round'!H36),"",'By Round'!H36)</f>
        <v/>
      </c>
      <c r="I8" s="15">
        <f>IF(ISBLANK('By Round'!I36),"",'By Round'!I36)</f>
        <v/>
      </c>
      <c r="J8" s="15">
        <f>IF(ISBLANK('By Round'!J36),"",'By Round'!J36)</f>
        <v/>
      </c>
      <c r="K8" s="15">
        <f>IF(ISBLANK('By Round'!K36),"",'By Round'!K36)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t="n">
        <v>3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EW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4">
        <f>SUM(T9:U9)</f>
        <v/>
      </c>
      <c r="Q9" s="4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>
        <f>'By Round'!A21</f>
        <v/>
      </c>
      <c r="C10">
        <f>'By Round'!B27</f>
        <v/>
      </c>
      <c r="D10">
        <f>'By Round'!C27</f>
        <v/>
      </c>
      <c r="E10">
        <f>'By Round'!D27</f>
        <v/>
      </c>
      <c r="F10" s="11" t="inlineStr">
        <is>
          <t>EW</t>
        </is>
      </c>
      <c r="G10">
        <f>IF(ISBLANK('By Round'!G27),"",'By Round'!G27)</f>
        <v/>
      </c>
      <c r="H10">
        <f>IF(ISBLANK('By Round'!H27),"",'By Round'!H27)</f>
        <v/>
      </c>
      <c r="I10">
        <f>IF(ISBLANK('By Round'!I27),"",'By Round'!I27)</f>
        <v/>
      </c>
      <c r="J10">
        <f>IF(ISBLANK('By Round'!J27),"",'By Round'!J27)</f>
        <v/>
      </c>
      <c r="K10">
        <f>IF(ISBLANK('By Round'!K27),"",'By Round'!K27)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4">
        <f>SUM(T10:U10)</f>
        <v/>
      </c>
      <c r="Q10" s="4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5">
        <f>'By Round'!A30</f>
        <v/>
      </c>
      <c r="C11" s="15">
        <f>'By Round'!B36</f>
        <v/>
      </c>
      <c r="D11" s="15">
        <f>'By Round'!C36</f>
        <v/>
      </c>
      <c r="E11" s="15">
        <f>'By Round'!D36</f>
        <v/>
      </c>
      <c r="F11" s="16" t="inlineStr">
        <is>
          <t>EW</t>
        </is>
      </c>
      <c r="G11" s="15">
        <f>IF(ISBLANK('By Round'!G36),"",'By Round'!G36)</f>
        <v/>
      </c>
      <c r="H11" s="15">
        <f>IF(ISBLANK('By Round'!H36),"",'By Round'!H36)</f>
        <v/>
      </c>
      <c r="I11" s="15">
        <f>IF(ISBLANK('By Round'!I36),"",'By Round'!I36)</f>
        <v/>
      </c>
      <c r="J11" s="15">
        <f>IF(ISBLANK('By Round'!J36),"",'By Round'!J36)</f>
        <v/>
      </c>
      <c r="K11" s="15">
        <f>IF(ISBLANK('By Round'!K36),"",'By Round'!K36)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t="n">
        <v>4</v>
      </c>
      <c r="B12">
        <f>'By Round'!A3</f>
        <v/>
      </c>
      <c r="C12">
        <f>'By Round'!B6</f>
        <v/>
      </c>
      <c r="D12">
        <f>'By Round'!C6</f>
        <v/>
      </c>
      <c r="E12">
        <f>'By Round'!D6</f>
        <v/>
      </c>
      <c r="F12" s="11" t="inlineStr">
        <is>
          <t>Both</t>
        </is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4">
        <f>SUM(T12:U12)</f>
        <v/>
      </c>
      <c r="Q12" s="4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>
        <f>'By Round'!A12</f>
        <v/>
      </c>
      <c r="C13">
        <f>'By Round'!B12</f>
        <v/>
      </c>
      <c r="D13">
        <f>'By Round'!C12</f>
        <v/>
      </c>
      <c r="E13">
        <f>'By Round'!D12</f>
        <v/>
      </c>
      <c r="F13" s="11" t="inlineStr">
        <is>
          <t>Both</t>
        </is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4">
        <f>SUM(T13:U13)</f>
        <v/>
      </c>
      <c r="Q13" s="4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5">
        <f>'By Round'!A21</f>
        <v/>
      </c>
      <c r="C14" s="15">
        <f>'By Round'!B24</f>
        <v/>
      </c>
      <c r="D14" s="15">
        <f>'By Round'!C24</f>
        <v/>
      </c>
      <c r="E14" s="15">
        <f>'By Round'!D24</f>
        <v/>
      </c>
      <c r="F14" s="16" t="inlineStr">
        <is>
          <t>Both</t>
        </is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t="n">
        <v>5</v>
      </c>
      <c r="B15">
        <f>'By Round'!A3</f>
        <v/>
      </c>
      <c r="C15">
        <f>'By Round'!B6</f>
        <v/>
      </c>
      <c r="D15">
        <f>'By Round'!C6</f>
        <v/>
      </c>
      <c r="E15">
        <f>'By Round'!D6</f>
        <v/>
      </c>
      <c r="F15" s="11" t="inlineStr">
        <is>
          <t>NS</t>
        </is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4">
        <f>SUM(T15:U15)</f>
        <v/>
      </c>
      <c r="Q15" s="4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>
        <f>'By Round'!A12</f>
        <v/>
      </c>
      <c r="C16">
        <f>'By Round'!B12</f>
        <v/>
      </c>
      <c r="D16">
        <f>'By Round'!C12</f>
        <v/>
      </c>
      <c r="E16">
        <f>'By Round'!D12</f>
        <v/>
      </c>
      <c r="F16" s="11" t="inlineStr">
        <is>
          <t>NS</t>
        </is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4">
        <f>SUM(T16:U16)</f>
        <v/>
      </c>
      <c r="Q16" s="4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5">
        <f>'By Round'!A21</f>
        <v/>
      </c>
      <c r="C17" s="15">
        <f>'By Round'!B24</f>
        <v/>
      </c>
      <c r="D17" s="15">
        <f>'By Round'!C24</f>
        <v/>
      </c>
      <c r="E17" s="15">
        <f>'By Round'!D24</f>
        <v/>
      </c>
      <c r="F17" s="16" t="inlineStr">
        <is>
          <t>NS</t>
        </is>
      </c>
      <c r="G17" s="15">
        <f>IF(ISBLANK('By Round'!G24),"",'By Round'!G24)</f>
        <v/>
      </c>
      <c r="H17" s="15">
        <f>IF(ISBLANK('By Round'!H24),"",'By Round'!H24)</f>
        <v/>
      </c>
      <c r="I17" s="15">
        <f>IF(ISBLANK('By Round'!I24),"",'By Round'!I24)</f>
        <v/>
      </c>
      <c r="J17" s="15">
        <f>IF(ISBLANK('By Round'!J24),"",'By Round'!J24)</f>
        <v/>
      </c>
      <c r="K17" s="15">
        <f>IF(ISBLANK('By Round'!K24),"",'By Round'!K24)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t="n">
        <v>6</v>
      </c>
      <c r="B18">
        <f>'By Round'!A3</f>
        <v/>
      </c>
      <c r="C18">
        <f>'By Round'!B6</f>
        <v/>
      </c>
      <c r="D18">
        <f>'By Round'!C6</f>
        <v/>
      </c>
      <c r="E18">
        <f>'By Round'!D6</f>
        <v/>
      </c>
      <c r="F18" s="11" t="inlineStr">
        <is>
          <t>EW</t>
        </is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4">
        <f>SUM(T18:U18)</f>
        <v/>
      </c>
      <c r="Q18" s="4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1" t="inlineStr">
        <is>
          <t>EW</t>
        </is>
      </c>
      <c r="G19">
        <f>IF(ISBLANK('By Round'!G12),"",'By Round'!G12)</f>
        <v/>
      </c>
      <c r="H19">
        <f>IF(ISBLANK('By Round'!H12),"",'By Round'!H12)</f>
        <v/>
      </c>
      <c r="I19">
        <f>IF(ISBLANK('By Round'!I12),"",'By Round'!I12)</f>
        <v/>
      </c>
      <c r="J19">
        <f>IF(ISBLANK('By Round'!J12),"",'By Round'!J12)</f>
        <v/>
      </c>
      <c r="K19">
        <f>IF(ISBLANK('By Round'!K12),"",'By Round'!K12)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4">
        <f>SUM(T19:U19)</f>
        <v/>
      </c>
      <c r="Q19" s="4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5">
        <f>'By Round'!A21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6" t="inlineStr">
        <is>
          <t>EW</t>
        </is>
      </c>
      <c r="G20" s="15">
        <f>IF(ISBLANK('By Round'!G24),"",'By Round'!G24)</f>
        <v/>
      </c>
      <c r="H20" s="15">
        <f>IF(ISBLANK('By Round'!H24),"",'By Round'!H24)</f>
        <v/>
      </c>
      <c r="I20" s="15">
        <f>IF(ISBLANK('By Round'!I24),"",'By Round'!I24)</f>
        <v/>
      </c>
      <c r="J20" s="15">
        <f>IF(ISBLANK('By Round'!J24),"",'By Round'!J24)</f>
        <v/>
      </c>
      <c r="K20" s="15">
        <f>IF(ISBLANK('By Round'!K24),"",'By Round'!K24)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t="n">
        <v>7</v>
      </c>
      <c r="B21">
        <f>'By Round'!A12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4">
        <f>SUM(T21:U21)</f>
        <v/>
      </c>
      <c r="Q21" s="4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>
        <f>'By Round'!A21</f>
        <v/>
      </c>
      <c r="C22">
        <f>'By Round'!B21</f>
        <v/>
      </c>
      <c r="D22">
        <f>'By Round'!C21</f>
        <v/>
      </c>
      <c r="E22">
        <f>'By Round'!D21</f>
        <v/>
      </c>
      <c r="F22" s="11" t="inlineStr">
        <is>
          <t>Both</t>
        </is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4">
        <f>SUM(T22:U22)</f>
        <v/>
      </c>
      <c r="Q22" s="4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5">
        <f>'By Round'!A30</f>
        <v/>
      </c>
      <c r="C23" s="15">
        <f>'By Round'!B33</f>
        <v/>
      </c>
      <c r="D23" s="15">
        <f>'By Round'!C33</f>
        <v/>
      </c>
      <c r="E23" s="15">
        <f>'By Round'!D33</f>
        <v/>
      </c>
      <c r="F23" s="16" t="inlineStr">
        <is>
          <t>Both</t>
        </is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t="n">
        <v>8</v>
      </c>
      <c r="B24">
        <f>'By Round'!A12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None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4">
        <f>SUM(T24:U24)</f>
        <v/>
      </c>
      <c r="Q24" s="4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>
        <f>'By Round'!A21</f>
        <v/>
      </c>
      <c r="C25">
        <f>'By Round'!B21</f>
        <v/>
      </c>
      <c r="D25">
        <f>'By Round'!C21</f>
        <v/>
      </c>
      <c r="E25">
        <f>'By Round'!D21</f>
        <v/>
      </c>
      <c r="F25" s="11" t="inlineStr">
        <is>
          <t>None</t>
        </is>
      </c>
      <c r="G25">
        <f>IF(ISBLANK('By Round'!G21),"",'By Round'!G21)</f>
        <v/>
      </c>
      <c r="H25">
        <f>IF(ISBLANK('By Round'!H21),"",'By Round'!H21)</f>
        <v/>
      </c>
      <c r="I25">
        <f>IF(ISBLANK('By Round'!I21),"",'By Round'!I21)</f>
        <v/>
      </c>
      <c r="J25">
        <f>IF(ISBLANK('By Round'!J21),"",'By Round'!J21)</f>
        <v/>
      </c>
      <c r="K25">
        <f>IF(ISBLANK('By Round'!K21),"",'By Round'!K21)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4">
        <f>SUM(T25:U25)</f>
        <v/>
      </c>
      <c r="Q25" s="4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5">
        <f>'By Round'!A30</f>
        <v/>
      </c>
      <c r="C26" s="15">
        <f>'By Round'!B33</f>
        <v/>
      </c>
      <c r="D26" s="15">
        <f>'By Round'!C33</f>
        <v/>
      </c>
      <c r="E26" s="15">
        <f>'By Round'!D33</f>
        <v/>
      </c>
      <c r="F26" s="16" t="inlineStr">
        <is>
          <t>None</t>
        </is>
      </c>
      <c r="G26" s="15">
        <f>IF(ISBLANK('By Round'!G33),"",'By Round'!G33)</f>
        <v/>
      </c>
      <c r="H26" s="15">
        <f>IF(ISBLANK('By Round'!H33),"",'By Round'!H33)</f>
        <v/>
      </c>
      <c r="I26" s="15">
        <f>IF(ISBLANK('By Round'!I33),"",'By Round'!I33)</f>
        <v/>
      </c>
      <c r="J26" s="15">
        <f>IF(ISBLANK('By Round'!J33),"",'By Round'!J33)</f>
        <v/>
      </c>
      <c r="K26" s="15">
        <f>IF(ISBLANK('By Round'!K33),"",'By Round'!K33)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t="n">
        <v>9</v>
      </c>
      <c r="B27">
        <f>'By Round'!A12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EW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4">
        <f>SUM(T27:U27)</f>
        <v/>
      </c>
      <c r="Q27" s="4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>
        <f>'By Round'!A21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EW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4">
        <f>SUM(T28:U28)</f>
        <v/>
      </c>
      <c r="Q28" s="4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5">
        <f>'By Round'!A30</f>
        <v/>
      </c>
      <c r="C29" s="15">
        <f>'By Round'!B33</f>
        <v/>
      </c>
      <c r="D29" s="15">
        <f>'By Round'!C33</f>
        <v/>
      </c>
      <c r="E29" s="15">
        <f>'By Round'!D33</f>
        <v/>
      </c>
      <c r="F29" s="16" t="inlineStr">
        <is>
          <t>EW</t>
        </is>
      </c>
      <c r="G29" s="15">
        <f>IF(ISBLANK('By Round'!G33),"",'By Round'!G33)</f>
        <v/>
      </c>
      <c r="H29" s="15">
        <f>IF(ISBLANK('By Round'!H33),"",'By Round'!H33)</f>
        <v/>
      </c>
      <c r="I29" s="15">
        <f>IF(ISBLANK('By Round'!I33),"",'By Round'!I33)</f>
        <v/>
      </c>
      <c r="J29" s="15">
        <f>IF(ISBLANK('By Round'!J33),"",'By Round'!J33)</f>
        <v/>
      </c>
      <c r="K29" s="15">
        <f>IF(ISBLANK('By Round'!K33),"",'By Round'!K33)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t="n">
        <v>10</v>
      </c>
      <c r="B30">
        <f>'By Round'!A3</f>
        <v/>
      </c>
      <c r="C30">
        <f>'By Round'!B9</f>
        <v/>
      </c>
      <c r="D30">
        <f>'By Round'!C9</f>
        <v/>
      </c>
      <c r="E30">
        <f>'By Round'!D9</f>
        <v/>
      </c>
      <c r="F30" s="11" t="inlineStr">
        <is>
          <t>Both</t>
        </is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4">
        <f>SUM(T30:U30)</f>
        <v/>
      </c>
      <c r="Q30" s="4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>
        <f>'By Round'!A12</f>
        <v/>
      </c>
      <c r="C31">
        <f>'By Round'!B18</f>
        <v/>
      </c>
      <c r="D31">
        <f>'By Round'!C18</f>
        <v/>
      </c>
      <c r="E31">
        <f>'By Round'!D18</f>
        <v/>
      </c>
      <c r="F31" s="11" t="inlineStr">
        <is>
          <t>Both</t>
        </is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4">
        <f>SUM(T31:U31)</f>
        <v/>
      </c>
      <c r="Q31" s="4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5">
        <f>'By Round'!A30</f>
        <v/>
      </c>
      <c r="C32" s="15">
        <f>'By Round'!B30</f>
        <v/>
      </c>
      <c r="D32" s="15">
        <f>'By Round'!C30</f>
        <v/>
      </c>
      <c r="E32" s="15">
        <f>'By Round'!D30</f>
        <v/>
      </c>
      <c r="F32" s="16" t="inlineStr">
        <is>
          <t>Both</t>
        </is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t="n">
        <v>11</v>
      </c>
      <c r="B33">
        <f>'By Round'!A3</f>
        <v/>
      </c>
      <c r="C33">
        <f>'By Round'!B9</f>
        <v/>
      </c>
      <c r="D33">
        <f>'By Round'!C9</f>
        <v/>
      </c>
      <c r="E33">
        <f>'By Round'!D9</f>
        <v/>
      </c>
      <c r="F33" s="11" t="inlineStr">
        <is>
          <t>None</t>
        </is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4">
        <f>SUM(T33:U33)</f>
        <v/>
      </c>
      <c r="Q33" s="4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>
        <f>'By Round'!A12</f>
        <v/>
      </c>
      <c r="C34">
        <f>'By Round'!B18</f>
        <v/>
      </c>
      <c r="D34">
        <f>'By Round'!C18</f>
        <v/>
      </c>
      <c r="E34">
        <f>'By Round'!D18</f>
        <v/>
      </c>
      <c r="F34" s="11" t="inlineStr">
        <is>
          <t>None</t>
        </is>
      </c>
      <c r="G34">
        <f>IF(ISBLANK('By Round'!G18),"",'By Round'!G18)</f>
        <v/>
      </c>
      <c r="H34">
        <f>IF(ISBLANK('By Round'!H18),"",'By Round'!H18)</f>
        <v/>
      </c>
      <c r="I34">
        <f>IF(ISBLANK('By Round'!I18),"",'By Round'!I18)</f>
        <v/>
      </c>
      <c r="J34">
        <f>IF(ISBLANK('By Round'!J18),"",'By Round'!J18)</f>
        <v/>
      </c>
      <c r="K34">
        <f>IF(ISBLANK('By Round'!K18),"",'By Round'!K18)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4">
        <f>SUM(T34:U34)</f>
        <v/>
      </c>
      <c r="Q34" s="4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5">
        <f>'By Round'!A30</f>
        <v/>
      </c>
      <c r="C35" s="15">
        <f>'By Round'!B30</f>
        <v/>
      </c>
      <c r="D35" s="15">
        <f>'By Round'!C30</f>
        <v/>
      </c>
      <c r="E35" s="15">
        <f>'By Round'!D30</f>
        <v/>
      </c>
      <c r="F35" s="16" t="inlineStr">
        <is>
          <t>None</t>
        </is>
      </c>
      <c r="G35" s="15">
        <f>IF(ISBLANK('By Round'!G30),"",'By Round'!G30)</f>
        <v/>
      </c>
      <c r="H35" s="15">
        <f>IF(ISBLANK('By Round'!H30),"",'By Round'!H30)</f>
        <v/>
      </c>
      <c r="I35" s="15">
        <f>IF(ISBLANK('By Round'!I30),"",'By Round'!I30)</f>
        <v/>
      </c>
      <c r="J35" s="15">
        <f>IF(ISBLANK('By Round'!J30),"",'By Round'!J30)</f>
        <v/>
      </c>
      <c r="K35" s="15">
        <f>IF(ISBLANK('By Round'!K30),"",'By Round'!K30)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t="n">
        <v>12</v>
      </c>
      <c r="B36">
        <f>'By Round'!A3</f>
        <v/>
      </c>
      <c r="C36">
        <f>'By Round'!B9</f>
        <v/>
      </c>
      <c r="D36">
        <f>'By Round'!C9</f>
        <v/>
      </c>
      <c r="E36">
        <f>'By Round'!D9</f>
        <v/>
      </c>
      <c r="F36" s="11" t="inlineStr">
        <is>
          <t>NS</t>
        </is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4">
        <f>SUM(T36:U36)</f>
        <v/>
      </c>
      <c r="Q36" s="4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>
        <f>'By Round'!A12</f>
        <v/>
      </c>
      <c r="C37">
        <f>'By Round'!B18</f>
        <v/>
      </c>
      <c r="D37">
        <f>'By Round'!C18</f>
        <v/>
      </c>
      <c r="E37">
        <f>'By Round'!D18</f>
        <v/>
      </c>
      <c r="F37" s="11" t="inlineStr">
        <is>
          <t>NS</t>
        </is>
      </c>
      <c r="G37">
        <f>IF(ISBLANK('By Round'!G18),"",'By Round'!G18)</f>
        <v/>
      </c>
      <c r="H37">
        <f>IF(ISBLANK('By Round'!H18),"",'By Round'!H18)</f>
        <v/>
      </c>
      <c r="I37">
        <f>IF(ISBLANK('By Round'!I18),"",'By Round'!I18)</f>
        <v/>
      </c>
      <c r="J37">
        <f>IF(ISBLANK('By Round'!J18),"",'By Round'!J18)</f>
        <v/>
      </c>
      <c r="K37">
        <f>IF(ISBLANK('By Round'!K18),"",'By Round'!K18)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4">
        <f>SUM(T37:U37)</f>
        <v/>
      </c>
      <c r="Q37" s="4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5">
        <f>'By Round'!A30</f>
        <v/>
      </c>
      <c r="C38" s="15">
        <f>'By Round'!B30</f>
        <v/>
      </c>
      <c r="D38" s="15">
        <f>'By Round'!C30</f>
        <v/>
      </c>
      <c r="E38" s="15">
        <f>'By Round'!D30</f>
        <v/>
      </c>
      <c r="F38" s="16" t="inlineStr">
        <is>
          <t>NS</t>
        </is>
      </c>
      <c r="G38" s="15">
        <f>IF(ISBLANK('By Round'!G30),"",'By Round'!G30)</f>
        <v/>
      </c>
      <c r="H38" s="15">
        <f>IF(ISBLANK('By Round'!H30),"",'By Round'!H30)</f>
        <v/>
      </c>
      <c r="I38" s="15">
        <f>IF(ISBLANK('By Round'!I30),"",'By Round'!I30)</f>
        <v/>
      </c>
      <c r="J38" s="15">
        <f>IF(ISBLANK('By Round'!J30),"",'By Round'!J30)</f>
        <v/>
      </c>
      <c r="K38" s="15">
        <f>IF(ISBLANK('By Round'!K30),"",'By Round'!K30)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t="n">
        <v>13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4">
        <f>SUM(T39:U39)</f>
        <v/>
      </c>
      <c r="Q39" s="4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>
        <f>'By Round'!A39</f>
        <v/>
      </c>
      <c r="C40">
        <f>'By Round'!B42</f>
        <v/>
      </c>
      <c r="D40">
        <f>'By Round'!C42</f>
        <v/>
      </c>
      <c r="E40">
        <f>'By Round'!D42</f>
        <v/>
      </c>
      <c r="F40" s="11" t="inlineStr">
        <is>
          <t>Both</t>
        </is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4">
        <f>SUM(T40:U40)</f>
        <v/>
      </c>
      <c r="Q40" s="4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6" t="inlineStr">
        <is>
          <t>Both</t>
        </is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t="n">
        <v>14</v>
      </c>
      <c r="B42">
        <f>'By Round'!A39</f>
        <v/>
      </c>
      <c r="C42">
        <f>'By Round'!B39</f>
        <v/>
      </c>
      <c r="D42">
        <f>'By Round'!C39</f>
        <v/>
      </c>
      <c r="E42">
        <f>'By Round'!D39</f>
        <v/>
      </c>
      <c r="F42" s="11" t="inlineStr">
        <is>
          <t>None</t>
        </is>
      </c>
      <c r="G42">
        <f>IF(ISBLANK('By Round'!G39),"",'By Round'!G39)</f>
        <v/>
      </c>
      <c r="H42">
        <f>IF(ISBLANK('By Round'!H39),"",'By Round'!H39)</f>
        <v/>
      </c>
      <c r="I42">
        <f>IF(ISBLANK('By Round'!I39),"",'By Round'!I39)</f>
        <v/>
      </c>
      <c r="J42">
        <f>IF(ISBLANK('By Round'!J39),"",'By Round'!J39)</f>
        <v/>
      </c>
      <c r="K42">
        <f>IF(ISBLANK('By Round'!K39),"",'By Round'!K39)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4">
        <f>SUM(T42:U42)</f>
        <v/>
      </c>
      <c r="Q42" s="4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>
        <f>'By Round'!A39</f>
        <v/>
      </c>
      <c r="C43">
        <f>'By Round'!B42</f>
        <v/>
      </c>
      <c r="D43">
        <f>'By Round'!C42</f>
        <v/>
      </c>
      <c r="E43">
        <f>'By Round'!D42</f>
        <v/>
      </c>
      <c r="F43" s="11" t="inlineStr">
        <is>
          <t>None</t>
        </is>
      </c>
      <c r="G43">
        <f>IF(ISBLANK('By Round'!G42),"",'By Round'!G42)</f>
        <v/>
      </c>
      <c r="H43">
        <f>IF(ISBLANK('By Round'!H42),"",'By Round'!H42)</f>
        <v/>
      </c>
      <c r="I43">
        <f>IF(ISBLANK('By Round'!I42),"",'By Round'!I42)</f>
        <v/>
      </c>
      <c r="J43">
        <f>IF(ISBLANK('By Round'!J42),"",'By Round'!J42)</f>
        <v/>
      </c>
      <c r="K43">
        <f>IF(ISBLANK('By Round'!K42),"",'By Round'!K42)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4">
        <f>SUM(T43:U43)</f>
        <v/>
      </c>
      <c r="Q43" s="4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5">
        <f>'By Round'!A39</f>
        <v/>
      </c>
      <c r="C44" s="15">
        <f>'By Round'!B45</f>
        <v/>
      </c>
      <c r="D44" s="15">
        <f>'By Round'!C45</f>
        <v/>
      </c>
      <c r="E44" s="15">
        <f>'By Round'!D45</f>
        <v/>
      </c>
      <c r="F44" s="16" t="inlineStr">
        <is>
          <t>None</t>
        </is>
      </c>
      <c r="G44" s="15">
        <f>IF(ISBLANK('By Round'!G45),"",'By Round'!G45)</f>
        <v/>
      </c>
      <c r="H44" s="15">
        <f>IF(ISBLANK('By Round'!H45),"",'By Round'!H45)</f>
        <v/>
      </c>
      <c r="I44" s="15">
        <f>IF(ISBLANK('By Round'!I45),"",'By Round'!I45)</f>
        <v/>
      </c>
      <c r="J44" s="15">
        <f>IF(ISBLANK('By Round'!J45),"",'By Round'!J45)</f>
        <v/>
      </c>
      <c r="K44" s="15">
        <f>IF(ISBLANK('By Round'!K45),"",'By Round'!K45)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t="n">
        <v>15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NS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4">
        <f>SUM(T45:U45)</f>
        <v/>
      </c>
      <c r="Q45" s="4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>
        <f>'By Round'!A39</f>
        <v/>
      </c>
      <c r="C46">
        <f>'By Round'!B42</f>
        <v/>
      </c>
      <c r="D46">
        <f>'By Round'!C42</f>
        <v/>
      </c>
      <c r="E46">
        <f>'By Round'!D42</f>
        <v/>
      </c>
      <c r="F46" s="11" t="inlineStr">
        <is>
          <t>NS</t>
        </is>
      </c>
      <c r="G46">
        <f>IF(ISBLANK('By Round'!G42),"",'By Round'!G42)</f>
        <v/>
      </c>
      <c r="H46">
        <f>IF(ISBLANK('By Round'!H42),"",'By Round'!H42)</f>
        <v/>
      </c>
      <c r="I46">
        <f>IF(ISBLANK('By Round'!I42),"",'By Round'!I42)</f>
        <v/>
      </c>
      <c r="J46">
        <f>IF(ISBLANK('By Round'!J42),"",'By Round'!J42)</f>
        <v/>
      </c>
      <c r="K46">
        <f>IF(ISBLANK('By Round'!K42),"",'By Round'!K42)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4">
        <f>SUM(T46:U46)</f>
        <v/>
      </c>
      <c r="Q46" s="4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5">
        <f>'By Round'!A39</f>
        <v/>
      </c>
      <c r="C47" s="15">
        <f>'By Round'!B45</f>
        <v/>
      </c>
      <c r="D47" s="15">
        <f>'By Round'!C45</f>
        <v/>
      </c>
      <c r="E47" s="15">
        <f>'By Round'!D45</f>
        <v/>
      </c>
      <c r="F47" s="16" t="inlineStr">
        <is>
          <t>NS</t>
        </is>
      </c>
      <c r="G47" s="15">
        <f>IF(ISBLANK('By Round'!G45),"",'By Round'!G45)</f>
        <v/>
      </c>
      <c r="H47" s="15">
        <f>IF(ISBLANK('By Round'!H45),"",'By Round'!H45)</f>
        <v/>
      </c>
      <c r="I47" s="15">
        <f>IF(ISBLANK('By Round'!I45),"",'By Round'!I45)</f>
        <v/>
      </c>
      <c r="J47" s="15">
        <f>IF(ISBLANK('By Round'!J45),"",'By Round'!J45)</f>
        <v/>
      </c>
      <c r="K47" s="15">
        <f>IF(ISBLANK('By Round'!K45),"",'By Round'!K45)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6</v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n">
        <v>6</v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n">
        <v>6</v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n">
        <v>6</v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n">
        <v>6</v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2026-02-01T18:07:27Z</dcterms:created>
  <dcterms:modified xsi:type="dcterms:W3CDTF">2026-02-01T18:07:27Z</dcterms:modified>
</cp:coreProperties>
</file>