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73</t>
        </is>
      </c>
      <c r="C10" t="inlineStr">
        <is>
          <t>Name 58</t>
        </is>
      </c>
      <c r="D10" s="4">
        <f>SUMIF('By Board'!$D$3:$D$47,"=1",'By Board'!$N$3:$N$47)/15+SUMIF('By Board'!$E$3:$E$47,"=1",'By Board'!$O$3:$O$47)/15</f>
        <v/>
      </c>
      <c r="E10" s="5">
        <f>SUMIF('By Board'!$D$3:$D$47,"=1",'By Board'!$L$3:$L$47)+SUMIF('By Board'!$E$3:$E$47,"=1",'By Board'!$M$3:$M$47)</f>
        <v/>
      </c>
    </row>
    <row r="11">
      <c r="A11" s="2" t="n">
        <v>2</v>
      </c>
      <c r="B11" t="inlineStr">
        <is>
          <t>Name 18</t>
        </is>
      </c>
      <c r="C11" t="inlineStr">
        <is>
          <t>Name 86</t>
        </is>
      </c>
      <c r="D11" s="4">
        <f>SUMIF('By Board'!$D$3:$D$47,"=2",'By Board'!$N$3:$N$47)/15+SUMIF('By Board'!$E$3:$E$47,"=2",'By Board'!$O$3:$O$47)/15</f>
        <v/>
      </c>
      <c r="E11" s="5">
        <f>SUMIF('By Board'!$D$3:$D$47,"=2",'By Board'!$L$3:$L$47)+SUMIF('By Board'!$E$3:$E$47,"=2",'By Board'!$M$3:$M$47)</f>
        <v/>
      </c>
    </row>
    <row r="12">
      <c r="A12" s="2" t="n">
        <v>3</v>
      </c>
      <c r="B12" t="inlineStr">
        <is>
          <t>Name 36</t>
        </is>
      </c>
      <c r="C12" t="inlineStr">
        <is>
          <t>Name 67</t>
        </is>
      </c>
      <c r="D12" s="4">
        <f>SUMIF('By Board'!$D$3:$D$47,"=3",'By Board'!$N$3:$N$47)/15+SUMIF('By Board'!$E$3:$E$47,"=3",'By Board'!$O$3:$O$47)/15</f>
        <v/>
      </c>
      <c r="E12" s="5">
        <f>SUMIF('By Board'!$D$3:$D$47,"=3",'By Board'!$L$3:$L$47)+SUMIF('By Board'!$E$3:$E$47,"=3",'By Board'!$M$3:$M$47)</f>
        <v/>
      </c>
    </row>
    <row r="13">
      <c r="A13" s="2" t="n">
        <v>4</v>
      </c>
      <c r="B13" t="inlineStr">
        <is>
          <t>Name 55</t>
        </is>
      </c>
      <c r="C13" t="inlineStr">
        <is>
          <t>Name 74</t>
        </is>
      </c>
      <c r="D13" s="4">
        <f>SUMIF('By Board'!$D$3:$D$47,"=4",'By Board'!$N$3:$N$47)/15+SUMIF('By Board'!$E$3:$E$47,"=4",'By Board'!$O$3:$O$47)/15</f>
        <v/>
      </c>
      <c r="E13" s="5">
        <f>SUMIF('By Board'!$D$3:$D$47,"=4",'By Board'!$L$3:$L$47)+SUMIF('By Board'!$E$3:$E$47,"=4",'By Board'!$M$3:$M$47)</f>
        <v/>
      </c>
    </row>
    <row r="14">
      <c r="A14" s="2" t="n">
        <v>5</v>
      </c>
      <c r="B14" t="inlineStr">
        <is>
          <t>Name 44</t>
        </is>
      </c>
      <c r="C14" t="inlineStr">
        <is>
          <t>Name 21</t>
        </is>
      </c>
      <c r="D14" s="4">
        <f>SUMIF('By Board'!$D$3:$D$47,"=5",'By Board'!$N$3:$N$47)/15+SUMIF('By Board'!$E$3:$E$47,"=5",'By Board'!$O$3:$O$47)/15</f>
        <v/>
      </c>
      <c r="E14" s="5">
        <f>SUMIF('By Board'!$D$3:$D$47,"=5",'By Board'!$L$3:$L$47)+SUMIF('By Board'!$E$3:$E$47,"=5",'By Board'!$M$3:$M$47)</f>
        <v/>
      </c>
    </row>
    <row r="15">
      <c r="A15" s="2" t="n">
        <v>6</v>
      </c>
      <c r="B15" t="inlineStr">
        <is>
          <t>Name 35</t>
        </is>
      </c>
      <c r="C15" t="inlineStr">
        <is>
          <t>Name 19</t>
        </is>
      </c>
      <c r="D15" s="4">
        <f>SUMIF('By Board'!$D$3:$D$47,"=6",'By Board'!$N$3:$N$47)/15+0/15</f>
        <v/>
      </c>
      <c r="E15" s="5">
        <f>SUMIF('By Board'!$D$3:$D$47,"=6",'By Board'!$L$3:$L$47)+0</f>
        <v/>
      </c>
    </row>
    <row r="16">
      <c r="D16" s="6">
        <f>AVERAGE(D10:D15)</f>
        <v/>
      </c>
      <c r="E16" s="7">
        <f>SUM(E10:E15)</f>
        <v/>
      </c>
    </row>
    <row r="18">
      <c r="A18" t="inlineStr">
        <is>
          <t>To sort, remove single quote below</t>
        </is>
      </c>
    </row>
    <row r="19">
      <c r="A19" s="2" t="inlineStr">
        <is>
          <t>IMP Ranking</t>
        </is>
      </c>
    </row>
    <row r="20">
      <c r="A20" t="inlineStr">
        <is>
          <t>'=SORT(A10:E15,4,-1)</t>
        </is>
      </c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30">
      <c r="A30" s="2" t="inlineStr">
        <is>
          <t>MP Ranking</t>
        </is>
      </c>
    </row>
    <row r="31">
      <c r="A31" t="inlineStr">
        <is>
          <t>'=SORT(A10:E15,5,-1)</t>
        </is>
      </c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</sheetData>
  <mergeCells count="9">
    <mergeCell ref="A4:B4"/>
    <mergeCell ref="A30:E30"/>
    <mergeCell ref="A7:B7"/>
    <mergeCell ref="A2:E2"/>
    <mergeCell ref="A5:B5"/>
    <mergeCell ref="A19:E19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 s="11">
        <f>'By Round'!A21</f>
        <v/>
      </c>
      <c r="C4" s="11">
        <f>'By Round'!B27</f>
        <v/>
      </c>
      <c r="D4" s="11">
        <f>'By Round'!C27</f>
        <v/>
      </c>
      <c r="E4" s="11">
        <f>'By Round'!D27</f>
        <v/>
      </c>
      <c r="F4" s="11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s="11" t="n">
        <v>2</v>
      </c>
      <c r="B6" s="11">
        <f>'By Round'!A3</f>
        <v/>
      </c>
      <c r="C6" s="11">
        <f>'By Round'!B3</f>
        <v/>
      </c>
      <c r="D6" s="11">
        <f>'By Round'!C3</f>
        <v/>
      </c>
      <c r="E6" s="11">
        <f>'By Round'!D3</f>
        <v/>
      </c>
      <c r="F6" s="11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 s="11">
        <f>'By Round'!A21</f>
        <v/>
      </c>
      <c r="C7" s="11">
        <f>'By Round'!B27</f>
        <v/>
      </c>
      <c r="D7" s="11">
        <f>'By Round'!C27</f>
        <v/>
      </c>
      <c r="E7" s="11">
        <f>'By Round'!D27</f>
        <v/>
      </c>
      <c r="F7" s="11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s="11" t="n">
        <v>3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 s="11">
        <f>'By Round'!A21</f>
        <v/>
      </c>
      <c r="C10" s="11">
        <f>'By Round'!B27</f>
        <v/>
      </c>
      <c r="D10" s="11">
        <f>'By Round'!C27</f>
        <v/>
      </c>
      <c r="E10" s="11">
        <f>'By Round'!D27</f>
        <v/>
      </c>
      <c r="F10" s="11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s="11" t="n">
        <v>4</v>
      </c>
      <c r="B12" s="11">
        <f>'By Round'!A3</f>
        <v/>
      </c>
      <c r="C12" s="11">
        <f>'By Round'!B6</f>
        <v/>
      </c>
      <c r="D12" s="11">
        <f>'By Round'!C6</f>
        <v/>
      </c>
      <c r="E12" s="11">
        <f>'By Round'!D6</f>
        <v/>
      </c>
      <c r="F12" s="11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 s="11">
        <f>'By Round'!A12</f>
        <v/>
      </c>
      <c r="C13" s="11">
        <f>'By Round'!B12</f>
        <v/>
      </c>
      <c r="D13" s="11">
        <f>'By Round'!C12</f>
        <v/>
      </c>
      <c r="E13" s="11">
        <f>'By Round'!D12</f>
        <v/>
      </c>
      <c r="F13" s="11">
        <f>IF(ISBLANK('By Round'!F12),"",'By Round'!F12)</f>
        <v/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s="11" t="n">
        <v>5</v>
      </c>
      <c r="B15" s="11">
        <f>'By Round'!A3</f>
        <v/>
      </c>
      <c r="C15" s="11">
        <f>'By Round'!B6</f>
        <v/>
      </c>
      <c r="D15" s="11">
        <f>'By Round'!C6</f>
        <v/>
      </c>
      <c r="E15" s="11">
        <f>'By Round'!D6</f>
        <v/>
      </c>
      <c r="F15" s="11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 s="11">
        <f>'By Round'!A12</f>
        <v/>
      </c>
      <c r="C16" s="11">
        <f>'By Round'!B12</f>
        <v/>
      </c>
      <c r="D16" s="11">
        <f>'By Round'!C12</f>
        <v/>
      </c>
      <c r="E16" s="11">
        <f>'By Round'!D12</f>
        <v/>
      </c>
      <c r="F16" s="11">
        <f>IF(ISBLANK('By Round'!F13),"",'By Round'!F13)</f>
        <v/>
      </c>
      <c r="G16">
        <f>IF(ISBLANK('By Round'!G13),"",'By Round'!G13)</f>
        <v/>
      </c>
      <c r="H16">
        <f>IF(ISBLANK('By Round'!H13),"",'By Round'!H13)</f>
        <v/>
      </c>
      <c r="I16">
        <f>IF(ISBLANK('By Round'!I13),"",'By Round'!I13)</f>
        <v/>
      </c>
      <c r="J16">
        <f>IF(ISBLANK('By Round'!J13),"",'By Round'!J13)</f>
        <v/>
      </c>
      <c r="K16">
        <f>IF(ISBLANK('By Round'!K13),"",'By Round'!K13)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s="11" t="n">
        <v>6</v>
      </c>
      <c r="B18" s="11">
        <f>'By Round'!A3</f>
        <v/>
      </c>
      <c r="C18" s="11">
        <f>'By Round'!B6</f>
        <v/>
      </c>
      <c r="D18" s="11">
        <f>'By Round'!C6</f>
        <v/>
      </c>
      <c r="E18" s="11">
        <f>'By Round'!D6</f>
        <v/>
      </c>
      <c r="F18" s="11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 s="11">
        <f>'By Round'!A12</f>
        <v/>
      </c>
      <c r="C19" s="11">
        <f>'By Round'!B12</f>
        <v/>
      </c>
      <c r="D19" s="11">
        <f>'By Round'!C12</f>
        <v/>
      </c>
      <c r="E19" s="11">
        <f>'By Round'!D12</f>
        <v/>
      </c>
      <c r="F19" s="11">
        <f>IF(ISBLANK('By Round'!F14),"",'By Round'!F14)</f>
        <v/>
      </c>
      <c r="G19">
        <f>IF(ISBLANK('By Round'!G14),"",'By Round'!G14)</f>
        <v/>
      </c>
      <c r="H19">
        <f>IF(ISBLANK('By Round'!H14),"",'By Round'!H14)</f>
        <v/>
      </c>
      <c r="I19">
        <f>IF(ISBLANK('By Round'!I14),"",'By Round'!I14)</f>
        <v/>
      </c>
      <c r="J19">
        <f>IF(ISBLANK('By Round'!J14),"",'By Round'!J14)</f>
        <v/>
      </c>
      <c r="K19">
        <f>IF(ISBLANK('By Round'!K14),"",'By Round'!K14)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s="11" t="n">
        <v>7</v>
      </c>
      <c r="B21" s="11">
        <f>'By Round'!A12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Round'!F15),"",'By Round'!F15)</f>
        <v/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 s="11">
        <f>'By Round'!A21</f>
        <v/>
      </c>
      <c r="C22" s="11">
        <f>'By Round'!B21</f>
        <v/>
      </c>
      <c r="D22" s="11">
        <f>'By Round'!C21</f>
        <v/>
      </c>
      <c r="E22" s="11">
        <f>'By Round'!D21</f>
        <v/>
      </c>
      <c r="F22" s="11">
        <f>IF(ISBLANK('By Round'!F21),"",'By Round'!F21)</f>
        <v/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6">
        <f>'By Round'!A30</f>
        <v/>
      </c>
      <c r="C23" s="16">
        <f>'By Round'!B33</f>
        <v/>
      </c>
      <c r="D23" s="16">
        <f>'By Round'!C33</f>
        <v/>
      </c>
      <c r="E23" s="16">
        <f>'By Round'!D33</f>
        <v/>
      </c>
      <c r="F23" s="16">
        <f>IF(ISBLANK('By Round'!F33),"",'By Round'!F33)</f>
        <v/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s="11" t="n">
        <v>8</v>
      </c>
      <c r="B24" s="11">
        <f>'By Round'!A12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Round'!F16),"",'By Round'!F16)</f>
        <v/>
      </c>
      <c r="G24">
        <f>IF(ISBLANK('By Round'!G16),"",'By Round'!G16)</f>
        <v/>
      </c>
      <c r="H24">
        <f>IF(ISBLANK('By Round'!H16),"",'By Round'!H16)</f>
        <v/>
      </c>
      <c r="I24">
        <f>IF(ISBLANK('By Round'!I16),"",'By Round'!I16)</f>
        <v/>
      </c>
      <c r="J24">
        <f>IF(ISBLANK('By Round'!J16),"",'By Round'!J16)</f>
        <v/>
      </c>
      <c r="K24">
        <f>IF(ISBLANK('By Round'!K16),"",'By Round'!K16)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 s="11">
        <f>'By Round'!A21</f>
        <v/>
      </c>
      <c r="C25" s="11">
        <f>'By Round'!B21</f>
        <v/>
      </c>
      <c r="D25" s="11">
        <f>'By Round'!C21</f>
        <v/>
      </c>
      <c r="E25" s="11">
        <f>'By Round'!D21</f>
        <v/>
      </c>
      <c r="F25" s="11">
        <f>IF(ISBLANK('By Round'!F22),"",'By Round'!F22)</f>
        <v/>
      </c>
      <c r="G25">
        <f>IF(ISBLANK('By Round'!G22),"",'By Round'!G22)</f>
        <v/>
      </c>
      <c r="H25">
        <f>IF(ISBLANK('By Round'!H22),"",'By Round'!H22)</f>
        <v/>
      </c>
      <c r="I25">
        <f>IF(ISBLANK('By Round'!I22),"",'By Round'!I22)</f>
        <v/>
      </c>
      <c r="J25">
        <f>IF(ISBLANK('By Round'!J22),"",'By Round'!J22)</f>
        <v/>
      </c>
      <c r="K25">
        <f>IF(ISBLANK('By Round'!K22),"",'By Round'!K22)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6">
        <f>'By Round'!A30</f>
        <v/>
      </c>
      <c r="C26" s="16">
        <f>'By Round'!B33</f>
        <v/>
      </c>
      <c r="D26" s="16">
        <f>'By Round'!C33</f>
        <v/>
      </c>
      <c r="E26" s="16">
        <f>'By Round'!D33</f>
        <v/>
      </c>
      <c r="F26" s="16">
        <f>IF(ISBLANK('By Round'!F34),"",'By Round'!F34)</f>
        <v/>
      </c>
      <c r="G26" s="15">
        <f>IF(ISBLANK('By Round'!G34),"",'By Round'!G34)</f>
        <v/>
      </c>
      <c r="H26" s="15">
        <f>IF(ISBLANK('By Round'!H34),"",'By Round'!H34)</f>
        <v/>
      </c>
      <c r="I26" s="15">
        <f>IF(ISBLANK('By Round'!I34),"",'By Round'!I34)</f>
        <v/>
      </c>
      <c r="J26" s="15">
        <f>IF(ISBLANK('By Round'!J34),"",'By Round'!J34)</f>
        <v/>
      </c>
      <c r="K26" s="15">
        <f>IF(ISBLANK('By Round'!K34),"",'By Round'!K34)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s="11" t="n">
        <v>9</v>
      </c>
      <c r="B27" s="11">
        <f>'By Round'!A12</f>
        <v/>
      </c>
      <c r="C27" s="11">
        <f>'By Round'!B15</f>
        <v/>
      </c>
      <c r="D27" s="11">
        <f>'By Round'!C15</f>
        <v/>
      </c>
      <c r="E27" s="11">
        <f>'By Round'!D15</f>
        <v/>
      </c>
      <c r="F27" s="11">
        <f>IF(ISBLANK('By Round'!F17),"",'By Round'!F17)</f>
        <v/>
      </c>
      <c r="G27">
        <f>IF(ISBLANK('By Round'!G17),"",'By Round'!G17)</f>
        <v/>
      </c>
      <c r="H27">
        <f>IF(ISBLANK('By Round'!H17),"",'By Round'!H17)</f>
        <v/>
      </c>
      <c r="I27">
        <f>IF(ISBLANK('By Round'!I17),"",'By Round'!I17)</f>
        <v/>
      </c>
      <c r="J27">
        <f>IF(ISBLANK('By Round'!J17),"",'By Round'!J17)</f>
        <v/>
      </c>
      <c r="K27">
        <f>IF(ISBLANK('By Round'!K17),"",'By Round'!K17)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 s="11">
        <f>'By Round'!A21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6">
        <f>'By Round'!A30</f>
        <v/>
      </c>
      <c r="C29" s="16">
        <f>'By Round'!B33</f>
        <v/>
      </c>
      <c r="D29" s="16">
        <f>'By Round'!C33</f>
        <v/>
      </c>
      <c r="E29" s="16">
        <f>'By Round'!D33</f>
        <v/>
      </c>
      <c r="F29" s="16">
        <f>IF(ISBLANK('By Round'!F35),"",'By Round'!F35)</f>
        <v/>
      </c>
      <c r="G29" s="15">
        <f>IF(ISBLANK('By Round'!G35),"",'By Round'!G35)</f>
        <v/>
      </c>
      <c r="H29" s="15">
        <f>IF(ISBLANK('By Round'!H35),"",'By Round'!H35)</f>
        <v/>
      </c>
      <c r="I29" s="15">
        <f>IF(ISBLANK('By Round'!I35),"",'By Round'!I35)</f>
        <v/>
      </c>
      <c r="J29" s="15">
        <f>IF(ISBLANK('By Round'!J35),"",'By Round'!J35)</f>
        <v/>
      </c>
      <c r="K29" s="15">
        <f>IF(ISBLANK('By Round'!K35),"",'By Round'!K35)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s="11" t="n">
        <v>10</v>
      </c>
      <c r="B30" s="11">
        <f>'By Round'!A3</f>
        <v/>
      </c>
      <c r="C30" s="11">
        <f>'By Round'!B9</f>
        <v/>
      </c>
      <c r="D30" s="11">
        <f>'By Round'!C9</f>
        <v/>
      </c>
      <c r="E30" s="11">
        <f>'By Round'!D9</f>
        <v/>
      </c>
      <c r="F30" s="11">
        <f>IF(ISBLANK('By Round'!F9),"",'By Round'!F9)</f>
        <v/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 s="11">
        <f>'By Round'!A12</f>
        <v/>
      </c>
      <c r="C31" s="11">
        <f>'By Round'!B18</f>
        <v/>
      </c>
      <c r="D31" s="11">
        <f>'By Round'!C18</f>
        <v/>
      </c>
      <c r="E31" s="11">
        <f>'By Round'!D18</f>
        <v/>
      </c>
      <c r="F31" s="11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s="11" t="n">
        <v>11</v>
      </c>
      <c r="B33" s="11">
        <f>'By Round'!A3</f>
        <v/>
      </c>
      <c r="C33" s="11">
        <f>'By Round'!B9</f>
        <v/>
      </c>
      <c r="D33" s="11">
        <f>'By Round'!C9</f>
        <v/>
      </c>
      <c r="E33" s="11">
        <f>'By Round'!D9</f>
        <v/>
      </c>
      <c r="F33" s="11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 s="11">
        <f>'By Round'!A12</f>
        <v/>
      </c>
      <c r="C34" s="11">
        <f>'By Round'!B18</f>
        <v/>
      </c>
      <c r="D34" s="11">
        <f>'By Round'!C18</f>
        <v/>
      </c>
      <c r="E34" s="11">
        <f>'By Round'!D18</f>
        <v/>
      </c>
      <c r="F34" s="11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s="11" t="n">
        <v>12</v>
      </c>
      <c r="B36" s="11">
        <f>'By Round'!A3</f>
        <v/>
      </c>
      <c r="C36" s="11">
        <f>'By Round'!B9</f>
        <v/>
      </c>
      <c r="D36" s="11">
        <f>'By Round'!C9</f>
        <v/>
      </c>
      <c r="E36" s="11">
        <f>'By Round'!D9</f>
        <v/>
      </c>
      <c r="F36" s="11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 s="11">
        <f>'By Round'!A12</f>
        <v/>
      </c>
      <c r="C37" s="11">
        <f>'By Round'!B18</f>
        <v/>
      </c>
      <c r="D37" s="11">
        <f>'By Round'!C18</f>
        <v/>
      </c>
      <c r="E37" s="11">
        <f>'By Round'!D18</f>
        <v/>
      </c>
      <c r="F37" s="11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s="11" t="n">
        <v>13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 s="11">
        <f>'By Round'!A39</f>
        <v/>
      </c>
      <c r="C40" s="11">
        <f>'By Round'!B42</f>
        <v/>
      </c>
      <c r="D40" s="11">
        <f>'By Round'!C42</f>
        <v/>
      </c>
      <c r="E40" s="11">
        <f>'By Round'!D42</f>
        <v/>
      </c>
      <c r="F40" s="11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s="11" t="n">
        <v>14</v>
      </c>
      <c r="B42" s="11">
        <f>'By Round'!A39</f>
        <v/>
      </c>
      <c r="C42" s="11">
        <f>'By Round'!B39</f>
        <v/>
      </c>
      <c r="D42" s="11">
        <f>'By Round'!C39</f>
        <v/>
      </c>
      <c r="E42" s="11">
        <f>'By Round'!D39</f>
        <v/>
      </c>
      <c r="F42" s="11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 s="11">
        <f>'By Round'!A39</f>
        <v/>
      </c>
      <c r="C43" s="11">
        <f>'By Round'!B42</f>
        <v/>
      </c>
      <c r="D43" s="11">
        <f>'By Round'!C42</f>
        <v/>
      </c>
      <c r="E43" s="11">
        <f>'By Round'!D42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s="11" t="n">
        <v>15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 s="11">
        <f>'By Round'!A39</f>
        <v/>
      </c>
      <c r="C46" s="11">
        <f>'By Round'!B42</f>
        <v/>
      </c>
      <c r="D46" s="11">
        <f>'By Round'!C42</f>
        <v/>
      </c>
      <c r="E46" s="11">
        <f>'By Round'!D42</f>
        <v/>
      </c>
      <c r="F46" s="11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2026-02-08T17:33:29Z</dcterms:created>
  <dcterms:modified xsi:type="dcterms:W3CDTF">2026-02-08T17:33:29Z</dcterms:modified>
</cp:coreProperties>
</file>