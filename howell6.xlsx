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81</t>
        </is>
      </c>
      <c r="C10" t="inlineStr">
        <is>
          <t>Name 27</t>
        </is>
      </c>
      <c r="D10" s="4">
        <f>SUMIF('By Board'!$D$3:$D$47,"=1",'By Board'!$O$3:$O$47)/15+SUMIF('By Board'!$E$3:$E$47,"=1",'By Board'!$P$3:$P$47)/15</f>
        <v/>
      </c>
      <c r="E10" s="5">
        <f>SUMIF('By Board'!$D$3:$D$47,"=1",'By Board'!$M$3:$M$47)+SUMIF('By Board'!$E$3:$E$47,"=1",'By Board'!$N$3:$N$47)</f>
        <v/>
      </c>
    </row>
    <row r="11">
      <c r="A11" s="2" t="n">
        <v>2</v>
      </c>
      <c r="B11" t="inlineStr">
        <is>
          <t>Name 86</t>
        </is>
      </c>
      <c r="C11" t="inlineStr">
        <is>
          <t>Name 40</t>
        </is>
      </c>
      <c r="D11" s="4">
        <f>SUMIF('By Board'!$D$3:$D$47,"=2",'By Board'!$O$3:$O$47)/15+SUMIF('By Board'!$E$3:$E$47,"=2",'By Board'!$P$3:$P$47)/15</f>
        <v/>
      </c>
      <c r="E11" s="5">
        <f>SUMIF('By Board'!$D$3:$D$47,"=2",'By Board'!$M$3:$M$47)+SUMIF('By Board'!$E$3:$E$47,"=2",'By Board'!$N$3:$N$47)</f>
        <v/>
      </c>
    </row>
    <row r="12">
      <c r="A12" s="2" t="n">
        <v>3</v>
      </c>
      <c r="B12" t="inlineStr">
        <is>
          <t>Name 46</t>
        </is>
      </c>
      <c r="C12" t="inlineStr">
        <is>
          <t>Name 60</t>
        </is>
      </c>
      <c r="D12" s="4">
        <f>SUMIF('By Board'!$D$3:$D$47,"=3",'By Board'!$O$3:$O$47)/15+SUMIF('By Board'!$E$3:$E$47,"=3",'By Board'!$P$3:$P$47)/15</f>
        <v/>
      </c>
      <c r="E12" s="5">
        <f>SUMIF('By Board'!$D$3:$D$47,"=3",'By Board'!$M$3:$M$47)+SUMIF('By Board'!$E$3:$E$47,"=3",'By Board'!$N$3:$N$47)</f>
        <v/>
      </c>
    </row>
    <row r="13">
      <c r="A13" s="2" t="n">
        <v>4</v>
      </c>
      <c r="B13" t="inlineStr">
        <is>
          <t>Name 83</t>
        </is>
      </c>
      <c r="C13" t="inlineStr">
        <is>
          <t>Name 74</t>
        </is>
      </c>
      <c r="D13" s="4">
        <f>SUMIF('By Board'!$D$3:$D$47,"=4",'By Board'!$O$3:$O$47)/15+SUMIF('By Board'!$E$3:$E$47,"=4",'By Board'!$P$3:$P$47)/15</f>
        <v/>
      </c>
      <c r="E13" s="5">
        <f>SUMIF('By Board'!$D$3:$D$47,"=4",'By Board'!$M$3:$M$47)+SUMIF('By Board'!$E$3:$E$47,"=4",'By Board'!$N$3:$N$47)</f>
        <v/>
      </c>
    </row>
    <row r="14">
      <c r="A14" s="2" t="n">
        <v>5</v>
      </c>
      <c r="B14" t="inlineStr">
        <is>
          <t>Name 73</t>
        </is>
      </c>
      <c r="C14" t="inlineStr">
        <is>
          <t>Name 21</t>
        </is>
      </c>
      <c r="D14" s="4">
        <f>SUMIF('By Board'!$D$3:$D$47,"=5",'By Board'!$O$3:$O$47)/15+SUMIF('By Board'!$E$3:$E$47,"=5",'By Board'!$P$3:$P$47)/15</f>
        <v/>
      </c>
      <c r="E14" s="5">
        <f>SUMIF('By Board'!$D$3:$D$47,"=5",'By Board'!$M$3:$M$47)+SUMIF('By Board'!$E$3:$E$47,"=5",'By Board'!$N$3:$N$47)</f>
        <v/>
      </c>
    </row>
    <row r="15">
      <c r="A15" s="2" t="n">
        <v>6</v>
      </c>
      <c r="B15" t="inlineStr">
        <is>
          <t>Name 46</t>
        </is>
      </c>
      <c r="C15" t="inlineStr">
        <is>
          <t>Name 44</t>
        </is>
      </c>
      <c r="D15" s="4">
        <f>SUMIF('By Board'!$D$3:$D$47,"=6",'By Board'!$O$3:$O$47)/15+0/15</f>
        <v/>
      </c>
      <c r="E15" s="5">
        <f>SUMIF('By Board'!$D$3:$D$47,"=6",'By Board'!$M$3:$M$47)+0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2026-04-09T04:39:59Z</dcterms:created>
  <dcterms:modified xsi:type="dcterms:W3CDTF">2026-04-09T04:39:59Z</dcterms:modified>
</cp:coreProperties>
</file>